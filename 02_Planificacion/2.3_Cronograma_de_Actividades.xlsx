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FE-MAESTRO\Documents\GestiondeProyectosSoftware\Proyecto2\02_Planificacion\"/>
    </mc:Choice>
  </mc:AlternateContent>
  <xr:revisionPtr revIDLastSave="0" documentId="13_ncr:1_{9FAEC05C-093E-412E-B21D-28E491AAA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 por fase" sheetId="1" r:id="rId1"/>
    <sheet name="Resumen por fase" sheetId="2" r:id="rId2"/>
    <sheet name="Control de Firm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F10" i="2"/>
  <c r="D10" i="2"/>
  <c r="E9" i="2"/>
  <c r="H9" i="2" s="1"/>
  <c r="H8" i="2"/>
  <c r="E8" i="2"/>
  <c r="H7" i="2"/>
  <c r="G7" i="2"/>
  <c r="E7" i="2"/>
  <c r="E6" i="2"/>
  <c r="H6" i="2" s="1"/>
  <c r="E5" i="2"/>
  <c r="H5" i="2" s="1"/>
  <c r="H4" i="2"/>
  <c r="E4" i="2"/>
  <c r="H3" i="2"/>
  <c r="E3" i="2"/>
  <c r="E10" i="2" s="1"/>
  <c r="M60" i="1"/>
  <c r="K60" i="1"/>
  <c r="M59" i="1"/>
  <c r="M58" i="1"/>
  <c r="M57" i="1"/>
  <c r="M56" i="1"/>
  <c r="M55" i="1"/>
  <c r="M54" i="1"/>
  <c r="M53" i="1"/>
  <c r="M52" i="1"/>
  <c r="K52" i="1"/>
  <c r="G9" i="2" s="1"/>
  <c r="H52" i="1"/>
  <c r="M51" i="1"/>
  <c r="M50" i="1"/>
  <c r="M49" i="1"/>
  <c r="M48" i="1"/>
  <c r="M47" i="1"/>
  <c r="M46" i="1"/>
  <c r="M45" i="1"/>
  <c r="M44" i="1"/>
  <c r="K44" i="1"/>
  <c r="G8" i="2" s="1"/>
  <c r="H44" i="1"/>
  <c r="M43" i="1"/>
  <c r="M42" i="1"/>
  <c r="M41" i="1"/>
  <c r="M40" i="1"/>
  <c r="M39" i="1"/>
  <c r="M38" i="1"/>
  <c r="M37" i="1"/>
  <c r="M36" i="1"/>
  <c r="K36" i="1"/>
  <c r="H36" i="1"/>
  <c r="M35" i="1"/>
  <c r="M34" i="1"/>
  <c r="M33" i="1"/>
  <c r="M32" i="1"/>
  <c r="M31" i="1"/>
  <c r="M30" i="1"/>
  <c r="M29" i="1"/>
  <c r="M28" i="1"/>
  <c r="K28" i="1"/>
  <c r="G6" i="2" s="1"/>
  <c r="H28" i="1"/>
  <c r="H60" i="1" s="1"/>
  <c r="M27" i="1"/>
  <c r="M26" i="1"/>
  <c r="M25" i="1"/>
  <c r="M24" i="1"/>
  <c r="M23" i="1"/>
  <c r="M22" i="1"/>
  <c r="M21" i="1"/>
  <c r="M20" i="1"/>
  <c r="M19" i="1"/>
  <c r="K19" i="1"/>
  <c r="G5" i="2" s="1"/>
  <c r="H19" i="1"/>
  <c r="M18" i="1"/>
  <c r="M17" i="1"/>
  <c r="M16" i="1"/>
  <c r="M15" i="1"/>
  <c r="M14" i="1"/>
  <c r="M13" i="1"/>
  <c r="M12" i="1"/>
  <c r="M11" i="1"/>
  <c r="K11" i="1"/>
  <c r="G4" i="2" s="1"/>
  <c r="H11" i="1"/>
  <c r="M8" i="1"/>
  <c r="M7" i="1"/>
  <c r="M6" i="1"/>
  <c r="M5" i="1"/>
  <c r="M4" i="1"/>
  <c r="M3" i="1"/>
  <c r="K3" i="1"/>
  <c r="G3" i="2" s="1"/>
  <c r="H3" i="1"/>
  <c r="G10" i="2" l="1"/>
</calcChain>
</file>

<file path=xl/sharedStrings.xml><?xml version="1.0" encoding="utf-8"?>
<sst xmlns="http://schemas.openxmlformats.org/spreadsheetml/2006/main" count="632" uniqueCount="264">
  <si>
    <t>Cronograma de Actividades – Ciclo de vida en cascada</t>
  </si>
  <si>
    <t>WBS</t>
  </si>
  <si>
    <t>Área de proceso</t>
  </si>
  <si>
    <t>Fase / Actividad</t>
  </si>
  <si>
    <t>Tipo</t>
  </si>
  <si>
    <t>Fase</t>
  </si>
  <si>
    <t>Fecha Inicio Planeada</t>
  </si>
  <si>
    <t>Fecha Final Planeada</t>
  </si>
  <si>
    <t>Horas Planeadas</t>
  </si>
  <si>
    <t>Fecha Inicio Real</t>
  </si>
  <si>
    <t>Fecha Final Real</t>
  </si>
  <si>
    <t>Horas Reales</t>
  </si>
  <si>
    <t>Responsable</t>
  </si>
  <si>
    <t>Avance (%)</t>
  </si>
  <si>
    <t>1</t>
  </si>
  <si>
    <t>Inicio</t>
  </si>
  <si>
    <t>1.1</t>
  </si>
  <si>
    <t>REQM – Gestión de Requisitos</t>
  </si>
  <si>
    <t>Entrevista de levantamiento de requisitos al cliente</t>
  </si>
  <si>
    <t>Actividad</t>
  </si>
  <si>
    <t>Luis Villegas (Analista)</t>
  </si>
  <si>
    <t>1.2</t>
  </si>
  <si>
    <t>PP – Planificación del Proyecto</t>
  </si>
  <si>
    <t>Reunión de arranque del proyecto</t>
  </si>
  <si>
    <t>Marco Muñoz (PM)</t>
  </si>
  <si>
    <t>1.3</t>
  </si>
  <si>
    <t>Identificar objetivos generales del proyecto</t>
  </si>
  <si>
    <t>1.4</t>
  </si>
  <si>
    <t>Identificar interesados principales</t>
  </si>
  <si>
    <t>1.5</t>
  </si>
  <si>
    <t>Definir el alcance del proyecto</t>
  </si>
  <si>
    <t>1.6</t>
  </si>
  <si>
    <t>MA / PPQA – Medición y Calidad</t>
  </si>
  <si>
    <t>Elaborar métricas de la fase</t>
  </si>
  <si>
    <t>Marco Muñoz (PM) y Oliver (QA)</t>
  </si>
  <si>
    <t>1.7</t>
  </si>
  <si>
    <t>QA – Revisión documental</t>
  </si>
  <si>
    <t>Revisión de los documentos de la fase</t>
  </si>
  <si>
    <t>Revisión</t>
  </si>
  <si>
    <t>Oliver (QA)</t>
  </si>
  <si>
    <t>2</t>
  </si>
  <si>
    <t>Planificación</t>
  </si>
  <si>
    <t>Desarrollar el plan de proyecto</t>
  </si>
  <si>
    <t>Elaborar la estructura de trabajo (WBS)</t>
  </si>
  <si>
    <t>Desarrollar el cronograma de actividades</t>
  </si>
  <si>
    <t>Identificar y documentar riesgos</t>
  </si>
  <si>
    <t>Planificar recursos, comunicaciones y calidad</t>
  </si>
  <si>
    <t>3</t>
  </si>
  <si>
    <t>Análisis</t>
  </si>
  <si>
    <t>3.1</t>
  </si>
  <si>
    <t>Recopilar y documentar los requisitos (SRS)</t>
  </si>
  <si>
    <t>Elaborar la complejidad del software</t>
  </si>
  <si>
    <t>3.3</t>
  </si>
  <si>
    <t>Elaborar los casos de uso</t>
  </si>
  <si>
    <t>3.4</t>
  </si>
  <si>
    <t>Elaborar el prototipo de interfaz</t>
  </si>
  <si>
    <t>Luis Villegas y Javier</t>
  </si>
  <si>
    <t>3.5</t>
  </si>
  <si>
    <t>REQM / PPQA – Requisitos y Calidad</t>
  </si>
  <si>
    <t>Validar y refinar los requisitos</t>
  </si>
  <si>
    <t>Equipo y profesor (cliente)</t>
  </si>
  <si>
    <t>3.6</t>
  </si>
  <si>
    <t>REQM / CM – Requisitos y Configuración</t>
  </si>
  <si>
    <t>Establecer la línea base de requisitos</t>
  </si>
  <si>
    <t>3.7</t>
  </si>
  <si>
    <t>3.8</t>
  </si>
  <si>
    <t>4</t>
  </si>
  <si>
    <t>Diseño</t>
  </si>
  <si>
    <t>4.1</t>
  </si>
  <si>
    <t>CM – Gestión de Configuración</t>
  </si>
  <si>
    <t>Definir la arquitectura general del sistema</t>
  </si>
  <si>
    <t>Javier (Arquitecto)</t>
  </si>
  <si>
    <t>4.2</t>
  </si>
  <si>
    <t>Diseñar componentes y módulos</t>
  </si>
  <si>
    <t>Javier y José</t>
  </si>
  <si>
    <t>4.3</t>
  </si>
  <si>
    <t>Diseñar las estructuras de información (base de datos)</t>
  </si>
  <si>
    <t>José</t>
  </si>
  <si>
    <t>4.4</t>
  </si>
  <si>
    <t>PPQA – Aseguramiento de Calidad</t>
  </si>
  <si>
    <t>Diseñar las interfaces de usuario</t>
  </si>
  <si>
    <t>4.5</t>
  </si>
  <si>
    <t>Definir el plan de integración de componentes</t>
  </si>
  <si>
    <t>4.6</t>
  </si>
  <si>
    <t>4.7</t>
  </si>
  <si>
    <t>5</t>
  </si>
  <si>
    <t>Codificación</t>
  </si>
  <si>
    <t>5.1</t>
  </si>
  <si>
    <t>Preparar el entorno de desarrollo</t>
  </si>
  <si>
    <t>5.2</t>
  </si>
  <si>
    <t>Programar la autenticación y la matriz de permisos</t>
  </si>
  <si>
    <t>5.3</t>
  </si>
  <si>
    <t>Programar el registro de usuarios y de equipos</t>
  </si>
  <si>
    <t>5.4</t>
  </si>
  <si>
    <t>Programar el préstamo, la devolución y el bloqueo por vencido</t>
  </si>
  <si>
    <t>5.5</t>
  </si>
  <si>
    <t>CM / PPQA – Configuración y Calidad</t>
  </si>
  <si>
    <t>Programar los reportes, la exportación a PDF y la auditoría</t>
  </si>
  <si>
    <t>5.6</t>
  </si>
  <si>
    <t>5.7</t>
  </si>
  <si>
    <t>6</t>
  </si>
  <si>
    <t>Pruebas QA</t>
  </si>
  <si>
    <t>6.1</t>
  </si>
  <si>
    <t>Preparar casos y datos de prueba</t>
  </si>
  <si>
    <t>Axel (Tester)</t>
  </si>
  <si>
    <t>6.2</t>
  </si>
  <si>
    <t>Ejecutar pruebas unitarias</t>
  </si>
  <si>
    <t>Axel (Tester) y Oliver (QA)</t>
  </si>
  <si>
    <t>6.3</t>
  </si>
  <si>
    <t>Ejecutar pruebas de integración</t>
  </si>
  <si>
    <t>6.4</t>
  </si>
  <si>
    <t>Ejecutar pruebas de sistema</t>
  </si>
  <si>
    <t>6.5</t>
  </si>
  <si>
    <t>Registrar y corregir los defectos encontrados</t>
  </si>
  <si>
    <t>Reporta Axel – Corrigen Javier/José – Verifica Oliver</t>
  </si>
  <si>
    <t>6.6</t>
  </si>
  <si>
    <t>6.7</t>
  </si>
  <si>
    <t>7</t>
  </si>
  <si>
    <t>Implementación</t>
  </si>
  <si>
    <t>7.1</t>
  </si>
  <si>
    <t>Preparar el ambiente de producción</t>
  </si>
  <si>
    <t>7.2</t>
  </si>
  <si>
    <t>Instalar y configurar el sistema</t>
  </si>
  <si>
    <t>7.3</t>
  </si>
  <si>
    <t>Realizar pruebas de aceptación con el usuario</t>
  </si>
  <si>
    <t>Axel (Tester), equipo y profesor (cliente)</t>
  </si>
  <si>
    <t>7.4</t>
  </si>
  <si>
    <t>Capacitar a los usuarios</t>
  </si>
  <si>
    <t>Luis Villegas y Marco Muñoz (PM)</t>
  </si>
  <si>
    <t>7.5</t>
  </si>
  <si>
    <t>PMC – Monitoreo y Control</t>
  </si>
  <si>
    <t>Liberar y entregar el sistema</t>
  </si>
  <si>
    <t>7.6</t>
  </si>
  <si>
    <t>7.7</t>
  </si>
  <si>
    <t>Auditoría Final</t>
  </si>
  <si>
    <t>Auditoría final (revisión documental y evidencia CMMI)</t>
  </si>
  <si>
    <t>TOTAL DEL PROYECTO</t>
  </si>
  <si>
    <t>Cómo leer este cronograma</t>
  </si>
  <si>
    <t>• Las columnas Fecha Inicio/Final Planeada y Horas Planeadas se llenan al inicio del proyecto (base de la planificación).</t>
  </si>
  <si>
    <t>• Las columnas Fecha Inicio/Final Real y Horas Reales se registran al cerrar cada actividad; hoy quedan vacías a propósito.</t>
  </si>
  <si>
    <t>• El Avance (%) de una actividad pasa a 100 % cuando se registra su Fecha Final Real; el avance por fase se resume en la fila azul.</t>
  </si>
  <si>
    <t>• Desviación en días, índice de eficiencia (HP/HR) y estado se calculan en el documento de métricas al cierre de cada fase (1.6, 2.6, 3.7, 4.6, 5.6, 6.6 y 7.6), no en este cronograma.</t>
  </si>
  <si>
    <t>Resumen de Avance y Esfuerzo por Fase (MA)</t>
  </si>
  <si>
    <t>Inicio planeado</t>
  </si>
  <si>
    <t>Fin planeado</t>
  </si>
  <si>
    <t>Días hábiles</t>
  </si>
  <si>
    <t>Actividades</t>
  </si>
  <si>
    <t>Horas planeadas</t>
  </si>
  <si>
    <t>Horas reales</t>
  </si>
  <si>
    <t>% Avance</t>
  </si>
  <si>
    <t>1. Inicio</t>
  </si>
  <si>
    <t>2. Planificación</t>
  </si>
  <si>
    <t>3. Análisis</t>
  </si>
  <si>
    <t>4. Diseño</t>
  </si>
  <si>
    <t>5. Codificación</t>
  </si>
  <si>
    <t>6. Pruebas QA</t>
  </si>
  <si>
    <t>7. Implementación</t>
  </si>
  <si>
    <t>TOTAL</t>
  </si>
  <si>
    <t>Métricas del proyecto</t>
  </si>
  <si>
    <t>• Esfuerzo total planeado: 146.0 horas repartidas en 20 días hábiles (del 05/10/2026 al 30/10/2026).</t>
  </si>
  <si>
    <t>• % Avance = (Actividades con Fecha Final Real registrada ÷ Total de paquetes de la fase) × 100.</t>
  </si>
  <si>
    <t>• Desviación en días, índice de eficiencia (HP/HR) y estado se calculan en el documento de métricas al cierre de cada fase (1.6, 2.6, 3.7, 4.6, 5.6, 6.6 y 7.6).</t>
  </si>
  <si>
    <t>• Todas las cifras de horas reales se capturan al cierre de cada actividad; hoy la columna queda vacía.</t>
  </si>
  <si>
    <t>Control de Firmas por Documento</t>
  </si>
  <si>
    <t>Documento</t>
  </si>
  <si>
    <t>Fecha</t>
  </si>
  <si>
    <t>Firma requerida</t>
  </si>
  <si>
    <t>Entrevista de Levantamiento de Requisitos</t>
  </si>
  <si>
    <t>05/10/2026</t>
  </si>
  <si>
    <t>Profesor (Cliente) + Luis Villegas + Marco Muñoz (PM)</t>
  </si>
  <si>
    <t>Minuta de Reunión de Arranque</t>
  </si>
  <si>
    <t>Todo el equipo (6 integrantes)</t>
  </si>
  <si>
    <t>Objetivos del Proyecto</t>
  </si>
  <si>
    <t>06/10/2026</t>
  </si>
  <si>
    <t>Identificación de Interesados</t>
  </si>
  <si>
    <t>Alcance del Proyecto</t>
  </si>
  <si>
    <t>07/10/2026</t>
  </si>
  <si>
    <t>Profesor (Cliente) + Marco Muñoz (PM)</t>
  </si>
  <si>
    <t>Métricas de la Fase Inicio (MA)</t>
  </si>
  <si>
    <t>José Oliver Guzmán Camacho (QA) + Marco Muñoz (PM)</t>
  </si>
  <si>
    <t>Checklist de Revisión QA – Inicio</t>
  </si>
  <si>
    <t>Oliver (QA) + Marco Muñoz (PM)</t>
  </si>
  <si>
    <t>Plan de Proyecto</t>
  </si>
  <si>
    <t>2.1</t>
  </si>
  <si>
    <t>08/10/2026</t>
  </si>
  <si>
    <t>Estructura de Trabajo (WBS)</t>
  </si>
  <si>
    <t>2.2</t>
  </si>
  <si>
    <t>Cronograma del Proyecto (Excel)</t>
  </si>
  <si>
    <t>2.3</t>
  </si>
  <si>
    <t>09/10/2026</t>
  </si>
  <si>
    <t>Registro de Riesgos</t>
  </si>
  <si>
    <t>2.4</t>
  </si>
  <si>
    <t>Marco Muñoz (PM) + Oliver (QA)</t>
  </si>
  <si>
    <t>Matriz de Responsabilidades (RACI)</t>
  </si>
  <si>
    <t>2.5</t>
  </si>
  <si>
    <t>Métricas de la Fase Planificación (MA)</t>
  </si>
  <si>
    <t>2.6</t>
  </si>
  <si>
    <t>Checklist de Revisión QA – Planificación</t>
  </si>
  <si>
    <t>2.7</t>
  </si>
  <si>
    <t>Especificación de Requisitos (SRS)</t>
  </si>
  <si>
    <t>13/10/2026</t>
  </si>
  <si>
    <t>Luis Villegas + Profesor (Cliente) + Marco Muñoz (PM)</t>
  </si>
  <si>
    <t>Complejidad del Software</t>
  </si>
  <si>
    <t>3.2</t>
  </si>
  <si>
    <t>14/10/2026</t>
  </si>
  <si>
    <t>Casos de Uso</t>
  </si>
  <si>
    <t>Luis Villegas</t>
  </si>
  <si>
    <t>Prototipo de Interfaz</t>
  </si>
  <si>
    <t>Criterios de Aceptación</t>
  </si>
  <si>
    <t>15/10/2026</t>
  </si>
  <si>
    <t>Profesor (Cliente) + Equipo</t>
  </si>
  <si>
    <t>Matriz de Trazabilidad</t>
  </si>
  <si>
    <t>Métricas de la Fase Análisis (MA)</t>
  </si>
  <si>
    <t>Checklist de Revisión QA – Análisis</t>
  </si>
  <si>
    <t>Diseño de Arquitectura</t>
  </si>
  <si>
    <t>16/10/2026</t>
  </si>
  <si>
    <t>Diseño de Lógica</t>
  </si>
  <si>
    <t>19/10/2026</t>
  </si>
  <si>
    <t>Validaciones y Excepciones</t>
  </si>
  <si>
    <t>Diseño de Interfaz Gráfica (GUI)</t>
  </si>
  <si>
    <t>20/10/2026</t>
  </si>
  <si>
    <t>Javier</t>
  </si>
  <si>
    <t>Estándares de Codificación (PEP 8)</t>
  </si>
  <si>
    <t>Métricas de la Fase Diseño (MA)</t>
  </si>
  <si>
    <t>Checklist de Revisión QA – Diseño</t>
  </si>
  <si>
    <t>Preparación del Entorno de Desarrollo</t>
  </si>
  <si>
    <t>21/10/2026</t>
  </si>
  <si>
    <t>Caso TC-01: Autenticación y permisos</t>
  </si>
  <si>
    <t>22/10/2026</t>
  </si>
  <si>
    <t>Axel (Tester) + José/Javier + Oliver (QA)</t>
  </si>
  <si>
    <t>Caso TC-02: Registro y disponibilidad de equipos</t>
  </si>
  <si>
    <t>23/10/2026</t>
  </si>
  <si>
    <t>Caso TC-03: Préstamo, devolución y bloqueo</t>
  </si>
  <si>
    <t>26/10/2026</t>
  </si>
  <si>
    <t>Caso TC-04: Reportes, PDF y auditoría</t>
  </si>
  <si>
    <t>Métricas de la Fase Codificación (MA)</t>
  </si>
  <si>
    <t>Checklist de Revisión QA – Codificación</t>
  </si>
  <si>
    <t>Plan y Casos de Prueba</t>
  </si>
  <si>
    <t>27/10/2026</t>
  </si>
  <si>
    <t>Resultados de Pruebas Unitarias</t>
  </si>
  <si>
    <t>Resultados de Pruebas de Integración</t>
  </si>
  <si>
    <t>28/10/2026</t>
  </si>
  <si>
    <t>Resultados de Pruebas de Sistema</t>
  </si>
  <si>
    <t>Reporte de Defectos</t>
  </si>
  <si>
    <t>Axel (reporta) + Javier/José (corrigen)</t>
  </si>
  <si>
    <t>Métricas de la Fase Pruebas QA (MA)</t>
  </si>
  <si>
    <t>Checklist de Revisión QA – Pruebas</t>
  </si>
  <si>
    <t>Preparación del Ambiente de Producción</t>
  </si>
  <si>
    <t>29/10/2026</t>
  </si>
  <si>
    <t>Guía de Instalación</t>
  </si>
  <si>
    <t>Pruebas de Aceptación</t>
  </si>
  <si>
    <t>Axel (Tester) + Profesor (Cliente)</t>
  </si>
  <si>
    <t>Manual de Usuario</t>
  </si>
  <si>
    <t>30/10/2026</t>
  </si>
  <si>
    <t>Acta de Entrega</t>
  </si>
  <si>
    <t>Métricas de la Fase Implementación (MA)</t>
  </si>
  <si>
    <t>Auditoría Final CMMI</t>
  </si>
  <si>
    <t>Total de documentos que requieren firma: 50</t>
  </si>
  <si>
    <t>Convenciones del cronograma</t>
  </si>
  <si>
    <t>• Fecha planeada: fecha en la que el equipo se comprometió a entregar el documento o a ejecutar la actividad.</t>
  </si>
  <si>
    <t>• Fecha real: fecha en la que realmente se terminó. Se registra al cerrar la actividad.</t>
  </si>
  <si>
    <t>• Horas planeadas: esfuerzo estimado en horas persona, asignado en la planificación (2.3).</t>
  </si>
  <si>
    <t>• Horas reales: esfuerzo efectivamente dedicado. Se registra al cierre y alimenta las métricas de la fase (documentos *6 de cada fase).</t>
  </si>
  <si>
    <t>• Revisión QA: actividad que Oliver (QA) ejecuta al cierre de cada fase para verificar que todos los documentos de la fase existan y sean coherentes con el cronograma.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</si>
</sst>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1F1F1F"/>
      <name val="Calibri"/>
    </font>
    <font>
      <b/>
      <sz val="10"/>
      <color rgb="FFFFFFFF"/>
      <name val="Calibri"/>
    </font>
    <font>
      <sz val="10"/>
      <color rgb="FF1F1F1F"/>
      <name val="Calibri"/>
    </font>
    <font>
      <b/>
      <sz val="10"/>
      <name val="Calibri"/>
    </font>
    <font>
      <b/>
      <sz val="11"/>
      <name val="Calibri"/>
    </font>
    <font>
      <sz val="9"/>
      <name val="Calibri"/>
    </font>
    <font>
      <b/>
      <sz val="14"/>
      <color rgb="FFFFFFFF"/>
      <name val="Calibri"/>
    </font>
    <font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pane ySplit="2" topLeftCell="A18" activePane="bottomLeft" state="frozen"/>
      <selection pane="bottomLeft" activeCell="I25" sqref="I25"/>
    </sheetView>
  </sheetViews>
  <sheetFormatPr baseColWidth="10" defaultColWidth="8.88671875" defaultRowHeight="14.4" x14ac:dyDescent="0.3"/>
  <cols>
    <col min="1" max="1" width="9" customWidth="1"/>
    <col min="2" max="2" width="34" customWidth="1"/>
    <col min="3" max="3" width="52" customWidth="1"/>
    <col min="4" max="4" width="13" customWidth="1"/>
    <col min="5" max="5" width="18" customWidth="1"/>
    <col min="6" max="7" width="15" customWidth="1"/>
    <col min="8" max="8" width="13.77734375" customWidth="1"/>
    <col min="9" max="10" width="15" customWidth="1"/>
    <col min="11" max="11" width="13" customWidth="1"/>
    <col min="12" max="12" width="30" customWidth="1"/>
    <col min="13" max="13" width="11" customWidth="1"/>
  </cols>
  <sheetData>
    <row r="1" spans="1:13" ht="28.05" customHeight="1" x14ac:dyDescent="0.3">
      <c r="A1" s="28" t="s">
        <v>0</v>
      </c>
      <c r="B1" s="29"/>
      <c r="C1" s="29"/>
      <c r="D1" s="29"/>
    </row>
    <row r="2" spans="1:13" ht="42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 t="s">
        <v>14</v>
      </c>
      <c r="B3" s="2" t="s">
        <v>15</v>
      </c>
      <c r="C3" s="2" t="s">
        <v>15</v>
      </c>
      <c r="D3" s="2" t="s">
        <v>5</v>
      </c>
      <c r="E3" s="2" t="s">
        <v>15</v>
      </c>
      <c r="F3" s="3">
        <v>46300</v>
      </c>
      <c r="G3" s="3">
        <v>46302</v>
      </c>
      <c r="H3" s="4">
        <f>SUM(H4:H10)</f>
        <v>12.5</v>
      </c>
      <c r="I3" s="3"/>
      <c r="J3" s="3"/>
      <c r="K3" s="4">
        <f>SUM(K4:K10)</f>
        <v>8</v>
      </c>
      <c r="L3" s="2"/>
      <c r="M3" s="4">
        <f>IF(COUNTIFS($D$3:$D$10,"&lt;&gt;Fase")=0,"",ROUND(COUNTIFS($D$3:$D$10,"&lt;&gt;Fase",$J$3:$J$10,"&lt;&gt;")/COUNTIFS($D$3:$D$10,"&lt;&gt;Fase")*100,0))</f>
        <v>100</v>
      </c>
    </row>
    <row r="4" spans="1:13" x14ac:dyDescent="0.3">
      <c r="A4" s="5" t="s">
        <v>16</v>
      </c>
      <c r="B4" s="6" t="s">
        <v>17</v>
      </c>
      <c r="C4" s="6" t="s">
        <v>18</v>
      </c>
      <c r="D4" s="5" t="s">
        <v>19</v>
      </c>
      <c r="E4" s="5" t="s">
        <v>15</v>
      </c>
      <c r="F4" s="7">
        <v>46300</v>
      </c>
      <c r="G4" s="7">
        <v>46300</v>
      </c>
      <c r="H4" s="8">
        <v>2</v>
      </c>
      <c r="I4" s="7">
        <v>46300</v>
      </c>
      <c r="J4" s="7">
        <v>46300</v>
      </c>
      <c r="K4" s="8">
        <v>0.5</v>
      </c>
      <c r="L4" s="6" t="s">
        <v>20</v>
      </c>
      <c r="M4" s="8">
        <f>IF($J4&lt;&gt;"",100,0)</f>
        <v>100</v>
      </c>
    </row>
    <row r="5" spans="1:13" x14ac:dyDescent="0.3">
      <c r="A5" s="5" t="s">
        <v>21</v>
      </c>
      <c r="B5" s="6" t="s">
        <v>22</v>
      </c>
      <c r="C5" s="6" t="s">
        <v>23</v>
      </c>
      <c r="D5" s="5" t="s">
        <v>19</v>
      </c>
      <c r="E5" s="5" t="s">
        <v>15</v>
      </c>
      <c r="F5" s="7">
        <v>46300</v>
      </c>
      <c r="G5" s="7">
        <v>46300</v>
      </c>
      <c r="H5" s="8">
        <v>1.5</v>
      </c>
      <c r="I5" s="7">
        <v>46300</v>
      </c>
      <c r="J5" s="7">
        <v>46300</v>
      </c>
      <c r="K5" s="8">
        <v>0.5</v>
      </c>
      <c r="L5" s="6" t="s">
        <v>24</v>
      </c>
      <c r="M5" s="8">
        <f>IF($J5&lt;&gt;"",100,0)</f>
        <v>100</v>
      </c>
    </row>
    <row r="6" spans="1:13" x14ac:dyDescent="0.3">
      <c r="A6" s="5" t="s">
        <v>25</v>
      </c>
      <c r="B6" s="6" t="s">
        <v>22</v>
      </c>
      <c r="C6" s="6" t="s">
        <v>26</v>
      </c>
      <c r="D6" s="5" t="s">
        <v>19</v>
      </c>
      <c r="E6" s="5" t="s">
        <v>15</v>
      </c>
      <c r="F6" s="7">
        <v>46301</v>
      </c>
      <c r="G6" s="7">
        <v>46301</v>
      </c>
      <c r="H6" s="8">
        <v>2</v>
      </c>
      <c r="I6" s="7">
        <v>46301</v>
      </c>
      <c r="J6" s="7">
        <v>46302</v>
      </c>
      <c r="K6" s="8">
        <v>1</v>
      </c>
      <c r="L6" s="6" t="s">
        <v>24</v>
      </c>
      <c r="M6" s="8">
        <f>IF($J6&lt;&gt;"",100,0)</f>
        <v>100</v>
      </c>
    </row>
    <row r="7" spans="1:13" x14ac:dyDescent="0.3">
      <c r="A7" s="5" t="s">
        <v>27</v>
      </c>
      <c r="B7" s="6" t="s">
        <v>22</v>
      </c>
      <c r="C7" s="6" t="s">
        <v>28</v>
      </c>
      <c r="D7" s="5" t="s">
        <v>19</v>
      </c>
      <c r="E7" s="5" t="s">
        <v>15</v>
      </c>
      <c r="F7" s="7">
        <v>46301</v>
      </c>
      <c r="G7" s="7">
        <v>46301</v>
      </c>
      <c r="H7" s="8">
        <v>1.5</v>
      </c>
      <c r="I7" s="7">
        <v>46301</v>
      </c>
      <c r="J7" s="7">
        <v>46302</v>
      </c>
      <c r="K7" s="8">
        <v>1</v>
      </c>
      <c r="L7" s="6" t="s">
        <v>24</v>
      </c>
      <c r="M7" s="8">
        <f>IF($J7&lt;&gt;"",100,0)</f>
        <v>100</v>
      </c>
    </row>
    <row r="8" spans="1:13" x14ac:dyDescent="0.3">
      <c r="A8" s="5" t="s">
        <v>29</v>
      </c>
      <c r="B8" s="6" t="s">
        <v>22</v>
      </c>
      <c r="C8" s="6" t="s">
        <v>30</v>
      </c>
      <c r="D8" s="5" t="s">
        <v>19</v>
      </c>
      <c r="E8" s="5" t="s">
        <v>15</v>
      </c>
      <c r="F8" s="7">
        <v>46302</v>
      </c>
      <c r="G8" s="7">
        <v>46302</v>
      </c>
      <c r="H8" s="8">
        <v>2.5</v>
      </c>
      <c r="I8" s="7">
        <v>46302</v>
      </c>
      <c r="J8" s="7">
        <v>46302</v>
      </c>
      <c r="K8" s="8">
        <v>2.5</v>
      </c>
      <c r="L8" s="6" t="s">
        <v>24</v>
      </c>
      <c r="M8" s="8">
        <f>IF($J8&lt;&gt;"",100,0)</f>
        <v>100</v>
      </c>
    </row>
    <row r="9" spans="1:13" x14ac:dyDescent="0.3">
      <c r="A9" s="5" t="s">
        <v>31</v>
      </c>
      <c r="B9" s="6" t="s">
        <v>32</v>
      </c>
      <c r="C9" s="6" t="s">
        <v>33</v>
      </c>
      <c r="D9" s="5" t="s">
        <v>19</v>
      </c>
      <c r="E9" s="5" t="s">
        <v>15</v>
      </c>
      <c r="F9" s="7">
        <v>46302</v>
      </c>
      <c r="G9" s="7">
        <v>46302</v>
      </c>
      <c r="H9" s="8">
        <v>1.5</v>
      </c>
      <c r="I9" s="7">
        <v>46302</v>
      </c>
      <c r="J9" s="7">
        <v>46302</v>
      </c>
      <c r="K9" s="8">
        <v>1.5</v>
      </c>
      <c r="L9" s="6" t="s">
        <v>34</v>
      </c>
      <c r="M9" s="8">
        <v>100</v>
      </c>
    </row>
    <row r="10" spans="1:13" x14ac:dyDescent="0.3">
      <c r="A10" s="5" t="s">
        <v>35</v>
      </c>
      <c r="B10" s="6" t="s">
        <v>36</v>
      </c>
      <c r="C10" s="6" t="s">
        <v>37</v>
      </c>
      <c r="D10" s="5" t="s">
        <v>38</v>
      </c>
      <c r="E10" s="5" t="s">
        <v>15</v>
      </c>
      <c r="F10" s="7">
        <v>46302</v>
      </c>
      <c r="G10" s="7">
        <v>46302</v>
      </c>
      <c r="H10" s="8">
        <v>1.5</v>
      </c>
      <c r="I10" s="7">
        <v>46302</v>
      </c>
      <c r="J10" s="7">
        <v>46302</v>
      </c>
      <c r="K10" s="8">
        <v>1</v>
      </c>
      <c r="L10" s="6" t="s">
        <v>39</v>
      </c>
      <c r="M10" s="8">
        <v>100</v>
      </c>
    </row>
    <row r="11" spans="1:13" x14ac:dyDescent="0.3">
      <c r="A11" s="2" t="s">
        <v>40</v>
      </c>
      <c r="B11" s="2" t="s">
        <v>41</v>
      </c>
      <c r="C11" s="2" t="s">
        <v>41</v>
      </c>
      <c r="D11" s="2" t="s">
        <v>5</v>
      </c>
      <c r="E11" s="2" t="s">
        <v>41</v>
      </c>
      <c r="F11" s="3">
        <v>46303</v>
      </c>
      <c r="G11" s="3">
        <v>46304</v>
      </c>
      <c r="H11" s="4">
        <f>SUM(H12:H18)</f>
        <v>15.5</v>
      </c>
      <c r="I11" s="3"/>
      <c r="J11" s="3"/>
      <c r="K11" s="4">
        <f>SUM(K12:K18)</f>
        <v>9</v>
      </c>
      <c r="L11" s="2"/>
      <c r="M11" s="4">
        <f>IF(COUNTIFS($D$11:$D$18,"&lt;&gt;Fase")=0,"",ROUND(COUNTIFS($D$11:$D$18,"&lt;&gt;Fase",$J$11:$J$18,"&lt;&gt;")/COUNTIFS($D$11:$D$18,"&lt;&gt;Fase")*100,0))</f>
        <v>100</v>
      </c>
    </row>
    <row r="12" spans="1:13" x14ac:dyDescent="0.3">
      <c r="A12" s="21">
        <v>2.1</v>
      </c>
      <c r="B12" s="6" t="s">
        <v>22</v>
      </c>
      <c r="C12" s="6" t="s">
        <v>42</v>
      </c>
      <c r="D12" s="5" t="s">
        <v>19</v>
      </c>
      <c r="E12" s="5" t="s">
        <v>41</v>
      </c>
      <c r="F12" s="7">
        <v>46303</v>
      </c>
      <c r="G12" s="7">
        <v>46303</v>
      </c>
      <c r="H12" s="8">
        <v>3</v>
      </c>
      <c r="I12" s="7">
        <v>46303</v>
      </c>
      <c r="J12" s="7">
        <v>46304</v>
      </c>
      <c r="K12" s="8">
        <v>2</v>
      </c>
      <c r="L12" s="6" t="s">
        <v>24</v>
      </c>
      <c r="M12" s="8">
        <f t="shared" ref="M12:M18" si="0">IF($J12&lt;&gt;"",100,0)</f>
        <v>100</v>
      </c>
    </row>
    <row r="13" spans="1:13" x14ac:dyDescent="0.3">
      <c r="A13" s="21">
        <v>2.2000000000000002</v>
      </c>
      <c r="B13" s="6" t="s">
        <v>22</v>
      </c>
      <c r="C13" s="6" t="s">
        <v>43</v>
      </c>
      <c r="D13" s="5" t="s">
        <v>19</v>
      </c>
      <c r="E13" s="5" t="s">
        <v>41</v>
      </c>
      <c r="F13" s="7">
        <v>46303</v>
      </c>
      <c r="G13" s="7">
        <v>46303</v>
      </c>
      <c r="H13" s="8">
        <v>2.5</v>
      </c>
      <c r="I13" s="7">
        <v>46303</v>
      </c>
      <c r="J13" s="7">
        <v>46304</v>
      </c>
      <c r="K13" s="8">
        <v>1.5</v>
      </c>
      <c r="L13" s="6" t="s">
        <v>24</v>
      </c>
      <c r="M13" s="8">
        <f t="shared" si="0"/>
        <v>100</v>
      </c>
    </row>
    <row r="14" spans="1:13" x14ac:dyDescent="0.3">
      <c r="A14" s="21">
        <v>2.2999999999999998</v>
      </c>
      <c r="B14" s="6" t="s">
        <v>22</v>
      </c>
      <c r="C14" s="6" t="s">
        <v>44</v>
      </c>
      <c r="D14" s="5" t="s">
        <v>19</v>
      </c>
      <c r="E14" s="5" t="s">
        <v>41</v>
      </c>
      <c r="F14" s="7">
        <v>46300</v>
      </c>
      <c r="G14" s="7">
        <v>46304</v>
      </c>
      <c r="H14" s="8">
        <v>2.5</v>
      </c>
      <c r="I14" s="7">
        <v>46302</v>
      </c>
      <c r="J14" s="7">
        <v>46304</v>
      </c>
      <c r="K14" s="8">
        <v>2</v>
      </c>
      <c r="L14" s="6" t="s">
        <v>24</v>
      </c>
      <c r="M14" s="8">
        <f t="shared" si="0"/>
        <v>100</v>
      </c>
    </row>
    <row r="15" spans="1:13" x14ac:dyDescent="0.3">
      <c r="A15" s="21">
        <v>2.4</v>
      </c>
      <c r="B15" s="6" t="s">
        <v>22</v>
      </c>
      <c r="C15" s="6" t="s">
        <v>45</v>
      </c>
      <c r="D15" s="5" t="s">
        <v>19</v>
      </c>
      <c r="E15" s="5" t="s">
        <v>41</v>
      </c>
      <c r="F15" s="7">
        <v>46304</v>
      </c>
      <c r="G15" s="7">
        <v>46304</v>
      </c>
      <c r="H15" s="8">
        <v>2.5</v>
      </c>
      <c r="I15" s="7">
        <v>46304</v>
      </c>
      <c r="J15" s="7">
        <v>46304</v>
      </c>
      <c r="K15" s="8">
        <v>1</v>
      </c>
      <c r="L15" s="6" t="s">
        <v>34</v>
      </c>
      <c r="M15" s="8">
        <f t="shared" si="0"/>
        <v>100</v>
      </c>
    </row>
    <row r="16" spans="1:13" x14ac:dyDescent="0.3">
      <c r="A16" s="21">
        <v>2.5</v>
      </c>
      <c r="B16" s="6" t="s">
        <v>22</v>
      </c>
      <c r="C16" s="6" t="s">
        <v>46</v>
      </c>
      <c r="D16" s="5" t="s">
        <v>19</v>
      </c>
      <c r="E16" s="5" t="s">
        <v>41</v>
      </c>
      <c r="F16" s="7">
        <v>46304</v>
      </c>
      <c r="G16" s="7">
        <v>46304</v>
      </c>
      <c r="H16" s="8">
        <v>2</v>
      </c>
      <c r="I16" s="7">
        <v>46304</v>
      </c>
      <c r="J16" s="7">
        <v>46304</v>
      </c>
      <c r="K16" s="8">
        <v>1</v>
      </c>
      <c r="L16" s="6" t="s">
        <v>24</v>
      </c>
      <c r="M16" s="8">
        <f t="shared" si="0"/>
        <v>100</v>
      </c>
    </row>
    <row r="17" spans="1:13" x14ac:dyDescent="0.3">
      <c r="A17" s="21">
        <v>2.6</v>
      </c>
      <c r="B17" s="6" t="s">
        <v>32</v>
      </c>
      <c r="C17" s="6" t="s">
        <v>33</v>
      </c>
      <c r="D17" s="5" t="s">
        <v>19</v>
      </c>
      <c r="E17" s="5" t="s">
        <v>41</v>
      </c>
      <c r="F17" s="7">
        <v>46304</v>
      </c>
      <c r="G17" s="7">
        <v>46304</v>
      </c>
      <c r="H17" s="8">
        <v>1.5</v>
      </c>
      <c r="I17" s="7">
        <v>46304</v>
      </c>
      <c r="J17" s="7">
        <v>46304</v>
      </c>
      <c r="K17" s="8">
        <v>0.8</v>
      </c>
      <c r="L17" s="6" t="s">
        <v>34</v>
      </c>
      <c r="M17" s="8">
        <f t="shared" si="0"/>
        <v>100</v>
      </c>
    </row>
    <row r="18" spans="1:13" x14ac:dyDescent="0.3">
      <c r="A18" s="21">
        <v>2.7</v>
      </c>
      <c r="B18" s="6" t="s">
        <v>36</v>
      </c>
      <c r="C18" s="6" t="s">
        <v>37</v>
      </c>
      <c r="D18" s="5" t="s">
        <v>38</v>
      </c>
      <c r="E18" s="5" t="s">
        <v>41</v>
      </c>
      <c r="F18" s="7">
        <v>46304</v>
      </c>
      <c r="G18" s="7">
        <v>46304</v>
      </c>
      <c r="H18" s="8">
        <v>1.5</v>
      </c>
      <c r="I18" s="7">
        <v>46304</v>
      </c>
      <c r="J18" s="7">
        <v>46304</v>
      </c>
      <c r="K18" s="8">
        <v>0.7</v>
      </c>
      <c r="L18" s="6" t="s">
        <v>39</v>
      </c>
      <c r="M18" s="8">
        <f t="shared" si="0"/>
        <v>100</v>
      </c>
    </row>
    <row r="19" spans="1:13" x14ac:dyDescent="0.3">
      <c r="A19" s="2" t="s">
        <v>47</v>
      </c>
      <c r="B19" s="2" t="s">
        <v>48</v>
      </c>
      <c r="C19" s="2" t="s">
        <v>48</v>
      </c>
      <c r="D19" s="2" t="s">
        <v>5</v>
      </c>
      <c r="E19" s="2" t="s">
        <v>48</v>
      </c>
      <c r="F19" s="3">
        <v>46307</v>
      </c>
      <c r="G19" s="3">
        <v>46310</v>
      </c>
      <c r="H19" s="4">
        <f>SUM(H20:H27)</f>
        <v>25</v>
      </c>
      <c r="I19" s="3"/>
      <c r="J19" s="3"/>
      <c r="K19" s="4">
        <f>SUM(K20:K27)</f>
        <v>18.5</v>
      </c>
      <c r="L19" s="2"/>
      <c r="M19" s="4">
        <f>IF(COUNTIFS($D$19:$D$27,"&lt;&gt;Fase")=0,"",ROUND(COUNTIFS($D$19:$D$27,"&lt;&gt;Fase",$J$19:$J$27,"&lt;&gt;")/COUNTIFS($D$19:$D$27,"&lt;&gt;Fase")*100,0))</f>
        <v>100</v>
      </c>
    </row>
    <row r="20" spans="1:13" x14ac:dyDescent="0.3">
      <c r="A20" s="5" t="s">
        <v>49</v>
      </c>
      <c r="B20" s="6" t="s">
        <v>17</v>
      </c>
      <c r="C20" s="6" t="s">
        <v>50</v>
      </c>
      <c r="D20" s="5" t="s">
        <v>19</v>
      </c>
      <c r="E20" s="5" t="s">
        <v>48</v>
      </c>
      <c r="F20" s="7">
        <v>46307</v>
      </c>
      <c r="G20" s="7">
        <v>46308</v>
      </c>
      <c r="H20" s="8">
        <v>6</v>
      </c>
      <c r="I20" s="7">
        <v>46307</v>
      </c>
      <c r="J20" s="7">
        <v>46307</v>
      </c>
      <c r="K20" s="8">
        <v>5</v>
      </c>
      <c r="L20" s="6" t="s">
        <v>20</v>
      </c>
      <c r="M20" s="8">
        <f t="shared" ref="M20:M27" si="1">IF($J20&lt;&gt;"",100,0)</f>
        <v>100</v>
      </c>
    </row>
    <row r="21" spans="1:13" x14ac:dyDescent="0.3">
      <c r="A21" s="26">
        <v>3.2</v>
      </c>
      <c r="B21" s="27" t="s">
        <v>22</v>
      </c>
      <c r="C21" s="27" t="s">
        <v>51</v>
      </c>
      <c r="D21" s="26" t="s">
        <v>19</v>
      </c>
      <c r="E21" s="26" t="s">
        <v>48</v>
      </c>
      <c r="F21" s="23">
        <v>46309</v>
      </c>
      <c r="G21" s="23">
        <v>46309</v>
      </c>
      <c r="H21" s="25">
        <v>2</v>
      </c>
      <c r="I21" s="23">
        <v>46307</v>
      </c>
      <c r="J21" s="23">
        <v>46307</v>
      </c>
      <c r="K21" s="22">
        <v>1.5</v>
      </c>
      <c r="L21" s="27" t="s">
        <v>24</v>
      </c>
      <c r="M21" s="22">
        <f t="shared" si="1"/>
        <v>100</v>
      </c>
    </row>
    <row r="22" spans="1:13" x14ac:dyDescent="0.3">
      <c r="A22" s="5" t="s">
        <v>52</v>
      </c>
      <c r="B22" s="6" t="s">
        <v>17</v>
      </c>
      <c r="C22" s="6" t="s">
        <v>53</v>
      </c>
      <c r="D22" s="5" t="s">
        <v>19</v>
      </c>
      <c r="E22" s="5" t="s">
        <v>48</v>
      </c>
      <c r="F22" s="7">
        <v>46308</v>
      </c>
      <c r="G22" s="7">
        <v>46308</v>
      </c>
      <c r="H22" s="8">
        <v>4</v>
      </c>
      <c r="I22" s="7">
        <v>46307</v>
      </c>
      <c r="J22" s="7">
        <v>46307</v>
      </c>
      <c r="K22" s="8">
        <v>3</v>
      </c>
      <c r="L22" s="6" t="s">
        <v>20</v>
      </c>
      <c r="M22" s="8">
        <f t="shared" si="1"/>
        <v>100</v>
      </c>
    </row>
    <row r="23" spans="1:13" x14ac:dyDescent="0.3">
      <c r="A23" s="5" t="s">
        <v>54</v>
      </c>
      <c r="B23" s="6" t="s">
        <v>17</v>
      </c>
      <c r="C23" s="6" t="s">
        <v>55</v>
      </c>
      <c r="D23" s="5" t="s">
        <v>19</v>
      </c>
      <c r="E23" s="5" t="s">
        <v>48</v>
      </c>
      <c r="F23" s="7">
        <v>46309</v>
      </c>
      <c r="G23" s="7">
        <v>46309</v>
      </c>
      <c r="H23" s="8">
        <v>4</v>
      </c>
      <c r="I23" s="7">
        <v>46309</v>
      </c>
      <c r="J23" s="7">
        <v>46309</v>
      </c>
      <c r="K23" s="8">
        <v>3</v>
      </c>
      <c r="L23" s="6" t="s">
        <v>56</v>
      </c>
      <c r="M23" s="8">
        <f t="shared" si="1"/>
        <v>100</v>
      </c>
    </row>
    <row r="24" spans="1:13" x14ac:dyDescent="0.3">
      <c r="A24" s="5" t="s">
        <v>57</v>
      </c>
      <c r="B24" s="6" t="s">
        <v>58</v>
      </c>
      <c r="C24" s="6" t="s">
        <v>59</v>
      </c>
      <c r="D24" s="5" t="s">
        <v>19</v>
      </c>
      <c r="E24" s="5" t="s">
        <v>48</v>
      </c>
      <c r="F24" s="7">
        <v>46309</v>
      </c>
      <c r="G24" s="7">
        <v>46310</v>
      </c>
      <c r="H24" s="8">
        <v>3</v>
      </c>
      <c r="I24" s="7">
        <v>46309</v>
      </c>
      <c r="J24" s="7">
        <v>46309</v>
      </c>
      <c r="K24" s="8">
        <v>2</v>
      </c>
      <c r="L24" s="6" t="s">
        <v>60</v>
      </c>
      <c r="M24" s="8">
        <f t="shared" si="1"/>
        <v>100</v>
      </c>
    </row>
    <row r="25" spans="1:13" x14ac:dyDescent="0.3">
      <c r="A25" s="5" t="s">
        <v>61</v>
      </c>
      <c r="B25" s="6" t="s">
        <v>62</v>
      </c>
      <c r="C25" s="6" t="s">
        <v>63</v>
      </c>
      <c r="D25" s="5" t="s">
        <v>19</v>
      </c>
      <c r="E25" s="5" t="s">
        <v>48</v>
      </c>
      <c r="F25" s="7">
        <v>46310</v>
      </c>
      <c r="G25" s="7">
        <v>46310</v>
      </c>
      <c r="H25" s="8">
        <v>2</v>
      </c>
      <c r="I25" s="7">
        <v>46309</v>
      </c>
      <c r="J25" s="7">
        <v>46128</v>
      </c>
      <c r="K25" s="8">
        <v>1.5</v>
      </c>
      <c r="L25" s="6" t="s">
        <v>24</v>
      </c>
      <c r="M25" s="8">
        <f t="shared" si="1"/>
        <v>100</v>
      </c>
    </row>
    <row r="26" spans="1:13" x14ac:dyDescent="0.3">
      <c r="A26" s="5" t="s">
        <v>64</v>
      </c>
      <c r="B26" s="6" t="s">
        <v>32</v>
      </c>
      <c r="C26" s="6" t="s">
        <v>33</v>
      </c>
      <c r="D26" s="5" t="s">
        <v>19</v>
      </c>
      <c r="E26" s="5" t="s">
        <v>48</v>
      </c>
      <c r="F26" s="7">
        <v>46310</v>
      </c>
      <c r="G26" s="7">
        <v>46310</v>
      </c>
      <c r="H26" s="8">
        <v>2</v>
      </c>
      <c r="I26" s="7">
        <v>46309</v>
      </c>
      <c r="J26" s="7">
        <v>46128</v>
      </c>
      <c r="K26" s="8">
        <v>1.5</v>
      </c>
      <c r="L26" s="6" t="s">
        <v>34</v>
      </c>
      <c r="M26" s="8">
        <f t="shared" si="1"/>
        <v>100</v>
      </c>
    </row>
    <row r="27" spans="1:13" x14ac:dyDescent="0.3">
      <c r="A27" s="5" t="s">
        <v>65</v>
      </c>
      <c r="B27" s="6" t="s">
        <v>36</v>
      </c>
      <c r="C27" s="6" t="s">
        <v>37</v>
      </c>
      <c r="D27" s="5" t="s">
        <v>38</v>
      </c>
      <c r="E27" s="5" t="s">
        <v>48</v>
      </c>
      <c r="F27" s="7">
        <v>46310</v>
      </c>
      <c r="G27" s="7">
        <v>46310</v>
      </c>
      <c r="H27" s="8">
        <v>2</v>
      </c>
      <c r="I27" s="7">
        <v>46309</v>
      </c>
      <c r="J27" s="7">
        <v>46128</v>
      </c>
      <c r="K27" s="8">
        <v>1</v>
      </c>
      <c r="L27" s="6" t="s">
        <v>39</v>
      </c>
      <c r="M27" s="8">
        <f t="shared" si="1"/>
        <v>100</v>
      </c>
    </row>
    <row r="28" spans="1:13" x14ac:dyDescent="0.3">
      <c r="A28" s="2" t="s">
        <v>66</v>
      </c>
      <c r="B28" s="2" t="s">
        <v>67</v>
      </c>
      <c r="C28" s="2" t="s">
        <v>67</v>
      </c>
      <c r="D28" s="2" t="s">
        <v>5</v>
      </c>
      <c r="E28" s="2" t="s">
        <v>67</v>
      </c>
      <c r="F28" s="3">
        <v>46311</v>
      </c>
      <c r="G28" s="3">
        <v>46315</v>
      </c>
      <c r="H28" s="4">
        <f>SUM(H29:H35)</f>
        <v>20.5</v>
      </c>
      <c r="I28" s="3"/>
      <c r="J28" s="3"/>
      <c r="K28" s="4">
        <f>SUM(K29:K35)</f>
        <v>0</v>
      </c>
      <c r="L28" s="2"/>
      <c r="M28" s="4">
        <f>IF(COUNTIFS($D$28:$D$35,"&lt;&gt;Fase")=0,"",ROUND(COUNTIFS($D$28:$D$35,"&lt;&gt;Fase",$J$28:$J$35,"&lt;&gt;")/COUNTIFS($D$28:$D$35,"&lt;&gt;Fase")*100,0))</f>
        <v>0</v>
      </c>
    </row>
    <row r="29" spans="1:13" x14ac:dyDescent="0.3">
      <c r="A29" s="5" t="s">
        <v>68</v>
      </c>
      <c r="B29" s="6" t="s">
        <v>69</v>
      </c>
      <c r="C29" s="6" t="s">
        <v>70</v>
      </c>
      <c r="D29" s="5" t="s">
        <v>19</v>
      </c>
      <c r="E29" s="5" t="s">
        <v>67</v>
      </c>
      <c r="F29" s="7">
        <v>46311</v>
      </c>
      <c r="G29" s="7">
        <v>46311</v>
      </c>
      <c r="H29" s="8">
        <v>4</v>
      </c>
      <c r="I29" s="7"/>
      <c r="J29" s="7"/>
      <c r="K29" s="8"/>
      <c r="L29" s="6" t="s">
        <v>71</v>
      </c>
      <c r="M29" s="8">
        <f t="shared" ref="M29:M35" si="2">IF($J29&lt;&gt;"",100,0)</f>
        <v>0</v>
      </c>
    </row>
    <row r="30" spans="1:13" x14ac:dyDescent="0.3">
      <c r="A30" s="5" t="s">
        <v>72</v>
      </c>
      <c r="B30" s="6" t="s">
        <v>69</v>
      </c>
      <c r="C30" s="6" t="s">
        <v>73</v>
      </c>
      <c r="D30" s="5" t="s">
        <v>19</v>
      </c>
      <c r="E30" s="5" t="s">
        <v>67</v>
      </c>
      <c r="F30" s="7">
        <v>46314</v>
      </c>
      <c r="G30" s="7">
        <v>46314</v>
      </c>
      <c r="H30" s="8">
        <v>4</v>
      </c>
      <c r="I30" s="7"/>
      <c r="J30" s="7"/>
      <c r="K30" s="8"/>
      <c r="L30" s="6" t="s">
        <v>74</v>
      </c>
      <c r="M30" s="8">
        <f t="shared" si="2"/>
        <v>0</v>
      </c>
    </row>
    <row r="31" spans="1:13" x14ac:dyDescent="0.3">
      <c r="A31" s="5" t="s">
        <v>75</v>
      </c>
      <c r="B31" s="6" t="s">
        <v>69</v>
      </c>
      <c r="C31" s="6" t="s">
        <v>76</v>
      </c>
      <c r="D31" s="5" t="s">
        <v>19</v>
      </c>
      <c r="E31" s="5" t="s">
        <v>67</v>
      </c>
      <c r="F31" s="7">
        <v>46314</v>
      </c>
      <c r="G31" s="7">
        <v>46314</v>
      </c>
      <c r="H31" s="8">
        <v>4</v>
      </c>
      <c r="I31" s="7"/>
      <c r="J31" s="7"/>
      <c r="K31" s="8"/>
      <c r="L31" s="6" t="s">
        <v>77</v>
      </c>
      <c r="M31" s="8">
        <f t="shared" si="2"/>
        <v>0</v>
      </c>
    </row>
    <row r="32" spans="1:13" x14ac:dyDescent="0.3">
      <c r="A32" s="5" t="s">
        <v>78</v>
      </c>
      <c r="B32" s="6" t="s">
        <v>79</v>
      </c>
      <c r="C32" s="6" t="s">
        <v>80</v>
      </c>
      <c r="D32" s="5" t="s">
        <v>19</v>
      </c>
      <c r="E32" s="5" t="s">
        <v>67</v>
      </c>
      <c r="F32" s="7">
        <v>46315</v>
      </c>
      <c r="G32" s="7">
        <v>46315</v>
      </c>
      <c r="H32" s="8">
        <v>3.5</v>
      </c>
      <c r="I32" s="7"/>
      <c r="J32" s="7"/>
      <c r="K32" s="8"/>
      <c r="L32" s="6" t="s">
        <v>71</v>
      </c>
      <c r="M32" s="8">
        <f t="shared" si="2"/>
        <v>0</v>
      </c>
    </row>
    <row r="33" spans="1:13" x14ac:dyDescent="0.3">
      <c r="A33" s="5" t="s">
        <v>81</v>
      </c>
      <c r="B33" s="6" t="s">
        <v>22</v>
      </c>
      <c r="C33" s="6" t="s">
        <v>82</v>
      </c>
      <c r="D33" s="5" t="s">
        <v>19</v>
      </c>
      <c r="E33" s="5" t="s">
        <v>67</v>
      </c>
      <c r="F33" s="7">
        <v>46315</v>
      </c>
      <c r="G33" s="7">
        <v>46315</v>
      </c>
      <c r="H33" s="8">
        <v>2</v>
      </c>
      <c r="I33" s="7"/>
      <c r="J33" s="7"/>
      <c r="K33" s="8"/>
      <c r="L33" s="6" t="s">
        <v>71</v>
      </c>
      <c r="M33" s="8">
        <f t="shared" si="2"/>
        <v>0</v>
      </c>
    </row>
    <row r="34" spans="1:13" x14ac:dyDescent="0.3">
      <c r="A34" s="5" t="s">
        <v>83</v>
      </c>
      <c r="B34" s="6" t="s">
        <v>32</v>
      </c>
      <c r="C34" s="6" t="s">
        <v>33</v>
      </c>
      <c r="D34" s="5" t="s">
        <v>19</v>
      </c>
      <c r="E34" s="5" t="s">
        <v>67</v>
      </c>
      <c r="F34" s="7">
        <v>46315</v>
      </c>
      <c r="G34" s="7">
        <v>46315</v>
      </c>
      <c r="H34" s="8">
        <v>1.5</v>
      </c>
      <c r="I34" s="7"/>
      <c r="J34" s="7"/>
      <c r="K34" s="8"/>
      <c r="L34" s="6" t="s">
        <v>34</v>
      </c>
      <c r="M34" s="8">
        <f t="shared" si="2"/>
        <v>0</v>
      </c>
    </row>
    <row r="35" spans="1:13" x14ac:dyDescent="0.3">
      <c r="A35" s="5" t="s">
        <v>84</v>
      </c>
      <c r="B35" s="6" t="s">
        <v>36</v>
      </c>
      <c r="C35" s="6" t="s">
        <v>37</v>
      </c>
      <c r="D35" s="5" t="s">
        <v>38</v>
      </c>
      <c r="E35" s="5" t="s">
        <v>67</v>
      </c>
      <c r="F35" s="7">
        <v>46315</v>
      </c>
      <c r="G35" s="7">
        <v>46315</v>
      </c>
      <c r="H35" s="8">
        <v>1.5</v>
      </c>
      <c r="I35" s="7"/>
      <c r="J35" s="7"/>
      <c r="K35" s="8"/>
      <c r="L35" s="6" t="s">
        <v>39</v>
      </c>
      <c r="M35" s="8">
        <f t="shared" si="2"/>
        <v>0</v>
      </c>
    </row>
    <row r="36" spans="1:13" x14ac:dyDescent="0.3">
      <c r="A36" s="2" t="s">
        <v>85</v>
      </c>
      <c r="B36" s="2" t="s">
        <v>86</v>
      </c>
      <c r="C36" s="2" t="s">
        <v>86</v>
      </c>
      <c r="D36" s="2" t="s">
        <v>5</v>
      </c>
      <c r="E36" s="2" t="s">
        <v>86</v>
      </c>
      <c r="F36" s="3">
        <v>46316</v>
      </c>
      <c r="G36" s="3">
        <v>46321</v>
      </c>
      <c r="H36" s="4">
        <f>SUM(H37:H43)</f>
        <v>38</v>
      </c>
      <c r="I36" s="3"/>
      <c r="J36" s="3"/>
      <c r="K36" s="4">
        <f>SUM(K37:K43)</f>
        <v>0</v>
      </c>
      <c r="L36" s="2"/>
      <c r="M36" s="4">
        <f>IF(COUNTIFS($D$36:$D$43,"&lt;&gt;Fase")=0,"",ROUND(COUNTIFS($D$36:$D$43,"&lt;&gt;Fase",$J$36:$J$43,"&lt;&gt;")/COUNTIFS($D$36:$D$43,"&lt;&gt;Fase")*100,0))</f>
        <v>0</v>
      </c>
    </row>
    <row r="37" spans="1:13" x14ac:dyDescent="0.3">
      <c r="A37" s="5" t="s">
        <v>87</v>
      </c>
      <c r="B37" s="6" t="s">
        <v>69</v>
      </c>
      <c r="C37" s="6" t="s">
        <v>88</v>
      </c>
      <c r="D37" s="5" t="s">
        <v>19</v>
      </c>
      <c r="E37" s="5" t="s">
        <v>86</v>
      </c>
      <c r="F37" s="7">
        <v>46316</v>
      </c>
      <c r="G37" s="7">
        <v>46316</v>
      </c>
      <c r="H37" s="8">
        <v>3</v>
      </c>
      <c r="I37" s="7"/>
      <c r="J37" s="7"/>
      <c r="K37" s="8"/>
      <c r="L37" s="6" t="s">
        <v>71</v>
      </c>
      <c r="M37" s="8">
        <f t="shared" ref="M37:M43" si="3">IF($J37&lt;&gt;"",100,0)</f>
        <v>0</v>
      </c>
    </row>
    <row r="38" spans="1:13" x14ac:dyDescent="0.3">
      <c r="A38" s="5" t="s">
        <v>89</v>
      </c>
      <c r="B38" s="6" t="s">
        <v>69</v>
      </c>
      <c r="C38" s="6" t="s">
        <v>90</v>
      </c>
      <c r="D38" s="5" t="s">
        <v>19</v>
      </c>
      <c r="E38" s="5" t="s">
        <v>86</v>
      </c>
      <c r="F38" s="7">
        <v>46316</v>
      </c>
      <c r="G38" s="7">
        <v>46317</v>
      </c>
      <c r="H38" s="8">
        <v>7</v>
      </c>
      <c r="I38" s="7"/>
      <c r="J38" s="7"/>
      <c r="K38" s="8"/>
      <c r="L38" s="6" t="s">
        <v>74</v>
      </c>
      <c r="M38" s="8">
        <f t="shared" si="3"/>
        <v>0</v>
      </c>
    </row>
    <row r="39" spans="1:13" x14ac:dyDescent="0.3">
      <c r="A39" s="5" t="s">
        <v>91</v>
      </c>
      <c r="B39" s="6" t="s">
        <v>69</v>
      </c>
      <c r="C39" s="6" t="s">
        <v>92</v>
      </c>
      <c r="D39" s="5" t="s">
        <v>19</v>
      </c>
      <c r="E39" s="5" t="s">
        <v>86</v>
      </c>
      <c r="F39" s="7">
        <v>46317</v>
      </c>
      <c r="G39" s="7">
        <v>46318</v>
      </c>
      <c r="H39" s="8">
        <v>7</v>
      </c>
      <c r="I39" s="7"/>
      <c r="J39" s="7"/>
      <c r="K39" s="8"/>
      <c r="L39" s="6" t="s">
        <v>77</v>
      </c>
      <c r="M39" s="8">
        <f t="shared" si="3"/>
        <v>0</v>
      </c>
    </row>
    <row r="40" spans="1:13" x14ac:dyDescent="0.3">
      <c r="A40" s="5" t="s">
        <v>93</v>
      </c>
      <c r="B40" s="6" t="s">
        <v>69</v>
      </c>
      <c r="C40" s="6" t="s">
        <v>94</v>
      </c>
      <c r="D40" s="5" t="s">
        <v>19</v>
      </c>
      <c r="E40" s="5" t="s">
        <v>86</v>
      </c>
      <c r="F40" s="7">
        <v>46318</v>
      </c>
      <c r="G40" s="7">
        <v>46321</v>
      </c>
      <c r="H40" s="8">
        <v>9</v>
      </c>
      <c r="I40" s="7"/>
      <c r="J40" s="7"/>
      <c r="K40" s="8"/>
      <c r="L40" s="6" t="s">
        <v>74</v>
      </c>
      <c r="M40" s="8">
        <f t="shared" si="3"/>
        <v>0</v>
      </c>
    </row>
    <row r="41" spans="1:13" x14ac:dyDescent="0.3">
      <c r="A41" s="5" t="s">
        <v>95</v>
      </c>
      <c r="B41" s="6" t="s">
        <v>96</v>
      </c>
      <c r="C41" s="6" t="s">
        <v>97</v>
      </c>
      <c r="D41" s="5" t="s">
        <v>19</v>
      </c>
      <c r="E41" s="5" t="s">
        <v>86</v>
      </c>
      <c r="F41" s="7">
        <v>46321</v>
      </c>
      <c r="G41" s="7">
        <v>46321</v>
      </c>
      <c r="H41" s="8">
        <v>8</v>
      </c>
      <c r="I41" s="7"/>
      <c r="J41" s="7"/>
      <c r="K41" s="8"/>
      <c r="L41" s="6" t="s">
        <v>77</v>
      </c>
      <c r="M41" s="8">
        <f t="shared" si="3"/>
        <v>0</v>
      </c>
    </row>
    <row r="42" spans="1:13" x14ac:dyDescent="0.3">
      <c r="A42" s="5" t="s">
        <v>98</v>
      </c>
      <c r="B42" s="6" t="s">
        <v>32</v>
      </c>
      <c r="C42" s="6" t="s">
        <v>33</v>
      </c>
      <c r="D42" s="5" t="s">
        <v>19</v>
      </c>
      <c r="E42" s="5" t="s">
        <v>86</v>
      </c>
      <c r="F42" s="7">
        <v>46321</v>
      </c>
      <c r="G42" s="7">
        <v>46321</v>
      </c>
      <c r="H42" s="8">
        <v>2</v>
      </c>
      <c r="I42" s="7"/>
      <c r="J42" s="7"/>
      <c r="K42" s="8"/>
      <c r="L42" s="6" t="s">
        <v>34</v>
      </c>
      <c r="M42" s="8">
        <f t="shared" si="3"/>
        <v>0</v>
      </c>
    </row>
    <row r="43" spans="1:13" x14ac:dyDescent="0.3">
      <c r="A43" s="5" t="s">
        <v>99</v>
      </c>
      <c r="B43" s="6" t="s">
        <v>36</v>
      </c>
      <c r="C43" s="6" t="s">
        <v>37</v>
      </c>
      <c r="D43" s="5" t="s">
        <v>38</v>
      </c>
      <c r="E43" s="5" t="s">
        <v>86</v>
      </c>
      <c r="F43" s="7">
        <v>46321</v>
      </c>
      <c r="G43" s="7">
        <v>46321</v>
      </c>
      <c r="H43" s="8">
        <v>2</v>
      </c>
      <c r="I43" s="7"/>
      <c r="J43" s="7"/>
      <c r="K43" s="8"/>
      <c r="L43" s="6" t="s">
        <v>39</v>
      </c>
      <c r="M43" s="8">
        <f t="shared" si="3"/>
        <v>0</v>
      </c>
    </row>
    <row r="44" spans="1:13" x14ac:dyDescent="0.3">
      <c r="A44" s="2" t="s">
        <v>100</v>
      </c>
      <c r="B44" s="2" t="s">
        <v>101</v>
      </c>
      <c r="C44" s="2" t="s">
        <v>101</v>
      </c>
      <c r="D44" s="2" t="s">
        <v>5</v>
      </c>
      <c r="E44" s="2" t="s">
        <v>101</v>
      </c>
      <c r="F44" s="3">
        <v>46322</v>
      </c>
      <c r="G44" s="3">
        <v>46323</v>
      </c>
      <c r="H44" s="4">
        <f>SUM(H45:H51)</f>
        <v>18.5</v>
      </c>
      <c r="I44" s="3"/>
      <c r="J44" s="3"/>
      <c r="K44" s="4">
        <f>SUM(K45:K51)</f>
        <v>0</v>
      </c>
      <c r="L44" s="2"/>
      <c r="M44" s="4">
        <f>IF(COUNTIFS($D$44:$D$51,"&lt;&gt;Fase")=0,"",ROUND(COUNTIFS($D$44:$D$51,"&lt;&gt;Fase",$J$44:$J$51,"&lt;&gt;")/COUNTIFS($D$44:$D$51,"&lt;&gt;Fase")*100,0))</f>
        <v>0</v>
      </c>
    </row>
    <row r="45" spans="1:13" x14ac:dyDescent="0.3">
      <c r="A45" s="5" t="s">
        <v>102</v>
      </c>
      <c r="B45" s="6" t="s">
        <v>79</v>
      </c>
      <c r="C45" s="6" t="s">
        <v>103</v>
      </c>
      <c r="D45" s="5" t="s">
        <v>19</v>
      </c>
      <c r="E45" s="5" t="s">
        <v>101</v>
      </c>
      <c r="F45" s="7">
        <v>46322</v>
      </c>
      <c r="G45" s="7">
        <v>46322</v>
      </c>
      <c r="H45" s="8">
        <v>3</v>
      </c>
      <c r="I45" s="7"/>
      <c r="J45" s="7"/>
      <c r="K45" s="8"/>
      <c r="L45" s="6" t="s">
        <v>104</v>
      </c>
      <c r="M45" s="8">
        <f t="shared" ref="M45:M51" si="4">IF($J45&lt;&gt;"",100,0)</f>
        <v>0</v>
      </c>
    </row>
    <row r="46" spans="1:13" x14ac:dyDescent="0.3">
      <c r="A46" s="5" t="s">
        <v>105</v>
      </c>
      <c r="B46" s="6" t="s">
        <v>79</v>
      </c>
      <c r="C46" s="6" t="s">
        <v>106</v>
      </c>
      <c r="D46" s="5" t="s">
        <v>19</v>
      </c>
      <c r="E46" s="5" t="s">
        <v>101</v>
      </c>
      <c r="F46" s="7">
        <v>46322</v>
      </c>
      <c r="G46" s="7">
        <v>46322</v>
      </c>
      <c r="H46" s="8">
        <v>3.5</v>
      </c>
      <c r="I46" s="7"/>
      <c r="J46" s="7"/>
      <c r="K46" s="8"/>
      <c r="L46" s="6" t="s">
        <v>107</v>
      </c>
      <c r="M46" s="8">
        <f t="shared" si="4"/>
        <v>0</v>
      </c>
    </row>
    <row r="47" spans="1:13" x14ac:dyDescent="0.3">
      <c r="A47" s="5" t="s">
        <v>108</v>
      </c>
      <c r="B47" s="6" t="s">
        <v>79</v>
      </c>
      <c r="C47" s="6" t="s">
        <v>109</v>
      </c>
      <c r="D47" s="5" t="s">
        <v>19</v>
      </c>
      <c r="E47" s="5" t="s">
        <v>101</v>
      </c>
      <c r="F47" s="7">
        <v>46322</v>
      </c>
      <c r="G47" s="7">
        <v>46323</v>
      </c>
      <c r="H47" s="8">
        <v>3</v>
      </c>
      <c r="I47" s="7"/>
      <c r="J47" s="7"/>
      <c r="K47" s="8"/>
      <c r="L47" s="6" t="s">
        <v>104</v>
      </c>
      <c r="M47" s="8">
        <f t="shared" si="4"/>
        <v>0</v>
      </c>
    </row>
    <row r="48" spans="1:13" x14ac:dyDescent="0.3">
      <c r="A48" s="5" t="s">
        <v>110</v>
      </c>
      <c r="B48" s="6" t="s">
        <v>79</v>
      </c>
      <c r="C48" s="6" t="s">
        <v>111</v>
      </c>
      <c r="D48" s="5" t="s">
        <v>19</v>
      </c>
      <c r="E48" s="5" t="s">
        <v>101</v>
      </c>
      <c r="F48" s="7">
        <v>46323</v>
      </c>
      <c r="G48" s="7">
        <v>46323</v>
      </c>
      <c r="H48" s="8">
        <v>3</v>
      </c>
      <c r="I48" s="7"/>
      <c r="J48" s="7"/>
      <c r="K48" s="8"/>
      <c r="L48" s="6" t="s">
        <v>104</v>
      </c>
      <c r="M48" s="8">
        <f t="shared" si="4"/>
        <v>0</v>
      </c>
    </row>
    <row r="49" spans="1:13" ht="27.6" customHeight="1" x14ac:dyDescent="0.3">
      <c r="A49" s="5" t="s">
        <v>112</v>
      </c>
      <c r="B49" s="6" t="s">
        <v>32</v>
      </c>
      <c r="C49" s="6" t="s">
        <v>113</v>
      </c>
      <c r="D49" s="5" t="s">
        <v>19</v>
      </c>
      <c r="E49" s="5" t="s">
        <v>101</v>
      </c>
      <c r="F49" s="7">
        <v>46323</v>
      </c>
      <c r="G49" s="7">
        <v>46323</v>
      </c>
      <c r="H49" s="8">
        <v>3</v>
      </c>
      <c r="I49" s="7"/>
      <c r="J49" s="7"/>
      <c r="K49" s="8"/>
      <c r="L49" s="6" t="s">
        <v>114</v>
      </c>
      <c r="M49" s="8">
        <f t="shared" si="4"/>
        <v>0</v>
      </c>
    </row>
    <row r="50" spans="1:13" x14ac:dyDescent="0.3">
      <c r="A50" s="5" t="s">
        <v>115</v>
      </c>
      <c r="B50" s="6" t="s">
        <v>32</v>
      </c>
      <c r="C50" s="6" t="s">
        <v>33</v>
      </c>
      <c r="D50" s="5" t="s">
        <v>19</v>
      </c>
      <c r="E50" s="5" t="s">
        <v>101</v>
      </c>
      <c r="F50" s="7">
        <v>46323</v>
      </c>
      <c r="G50" s="7">
        <v>46323</v>
      </c>
      <c r="H50" s="8">
        <v>1.5</v>
      </c>
      <c r="I50" s="7"/>
      <c r="J50" s="7"/>
      <c r="K50" s="8"/>
      <c r="L50" s="6" t="s">
        <v>34</v>
      </c>
      <c r="M50" s="8">
        <f t="shared" si="4"/>
        <v>0</v>
      </c>
    </row>
    <row r="51" spans="1:13" x14ac:dyDescent="0.3">
      <c r="A51" s="5" t="s">
        <v>116</v>
      </c>
      <c r="B51" s="6" t="s">
        <v>36</v>
      </c>
      <c r="C51" s="6" t="s">
        <v>37</v>
      </c>
      <c r="D51" s="5" t="s">
        <v>38</v>
      </c>
      <c r="E51" s="5" t="s">
        <v>101</v>
      </c>
      <c r="F51" s="7">
        <v>46323</v>
      </c>
      <c r="G51" s="7">
        <v>46323</v>
      </c>
      <c r="H51" s="8">
        <v>1.5</v>
      </c>
      <c r="I51" s="7"/>
      <c r="J51" s="7"/>
      <c r="K51" s="8"/>
      <c r="L51" s="6" t="s">
        <v>39</v>
      </c>
      <c r="M51" s="8">
        <f t="shared" si="4"/>
        <v>0</v>
      </c>
    </row>
    <row r="52" spans="1:13" x14ac:dyDescent="0.3">
      <c r="A52" s="2" t="s">
        <v>117</v>
      </c>
      <c r="B52" s="2" t="s">
        <v>118</v>
      </c>
      <c r="C52" s="2" t="s">
        <v>118</v>
      </c>
      <c r="D52" s="2" t="s">
        <v>5</v>
      </c>
      <c r="E52" s="2" t="s">
        <v>118</v>
      </c>
      <c r="F52" s="3">
        <v>46324</v>
      </c>
      <c r="G52" s="3">
        <v>46325</v>
      </c>
      <c r="H52" s="4">
        <f>SUM(H53:H59)</f>
        <v>16</v>
      </c>
      <c r="I52" s="3"/>
      <c r="J52" s="3"/>
      <c r="K52" s="4">
        <f>SUM(K53:K59)</f>
        <v>0</v>
      </c>
      <c r="L52" s="2"/>
      <c r="M52" s="4">
        <f>IF(COUNTIFS($D$52:$D$59,"&lt;&gt;Fase")=0,"",ROUND(COUNTIFS($D$52:$D$59,"&lt;&gt;Fase",$J$52:$J$59,"&lt;&gt;")/COUNTIFS($D$52:$D$59,"&lt;&gt;Fase")*100,0))</f>
        <v>0</v>
      </c>
    </row>
    <row r="53" spans="1:13" x14ac:dyDescent="0.3">
      <c r="A53" s="5" t="s">
        <v>119</v>
      </c>
      <c r="B53" s="6" t="s">
        <v>69</v>
      </c>
      <c r="C53" s="6" t="s">
        <v>120</v>
      </c>
      <c r="D53" s="5" t="s">
        <v>19</v>
      </c>
      <c r="E53" s="5" t="s">
        <v>118</v>
      </c>
      <c r="F53" s="7">
        <v>46324</v>
      </c>
      <c r="G53" s="7">
        <v>46324</v>
      </c>
      <c r="H53" s="8">
        <v>3</v>
      </c>
      <c r="I53" s="7"/>
      <c r="J53" s="7"/>
      <c r="K53" s="8"/>
      <c r="L53" s="6" t="s">
        <v>71</v>
      </c>
      <c r="M53" s="8">
        <f t="shared" ref="M53:M59" si="5">IF($J53&lt;&gt;"",100,0)</f>
        <v>0</v>
      </c>
    </row>
    <row r="54" spans="1:13" x14ac:dyDescent="0.3">
      <c r="A54" s="5" t="s">
        <v>121</v>
      </c>
      <c r="B54" s="6" t="s">
        <v>69</v>
      </c>
      <c r="C54" s="6" t="s">
        <v>122</v>
      </c>
      <c r="D54" s="5" t="s">
        <v>19</v>
      </c>
      <c r="E54" s="5" t="s">
        <v>118</v>
      </c>
      <c r="F54" s="7">
        <v>46324</v>
      </c>
      <c r="G54" s="7">
        <v>46324</v>
      </c>
      <c r="H54" s="8">
        <v>3</v>
      </c>
      <c r="I54" s="7"/>
      <c r="J54" s="7"/>
      <c r="K54" s="8"/>
      <c r="L54" s="6" t="s">
        <v>77</v>
      </c>
      <c r="M54" s="8">
        <f t="shared" si="5"/>
        <v>0</v>
      </c>
    </row>
    <row r="55" spans="1:13" ht="27.6" customHeight="1" x14ac:dyDescent="0.3">
      <c r="A55" s="5" t="s">
        <v>123</v>
      </c>
      <c r="B55" s="6" t="s">
        <v>58</v>
      </c>
      <c r="C55" s="6" t="s">
        <v>124</v>
      </c>
      <c r="D55" s="5" t="s">
        <v>19</v>
      </c>
      <c r="E55" s="5" t="s">
        <v>118</v>
      </c>
      <c r="F55" s="7">
        <v>46324</v>
      </c>
      <c r="G55" s="7">
        <v>46324</v>
      </c>
      <c r="H55" s="8">
        <v>3</v>
      </c>
      <c r="I55" s="7"/>
      <c r="J55" s="7"/>
      <c r="K55" s="8"/>
      <c r="L55" s="6" t="s">
        <v>125</v>
      </c>
      <c r="M55" s="8">
        <f t="shared" si="5"/>
        <v>0</v>
      </c>
    </row>
    <row r="56" spans="1:13" x14ac:dyDescent="0.3">
      <c r="A56" s="5" t="s">
        <v>126</v>
      </c>
      <c r="B56" s="6" t="s">
        <v>22</v>
      </c>
      <c r="C56" s="6" t="s">
        <v>127</v>
      </c>
      <c r="D56" s="5" t="s">
        <v>19</v>
      </c>
      <c r="E56" s="5" t="s">
        <v>118</v>
      </c>
      <c r="F56" s="7">
        <v>46325</v>
      </c>
      <c r="G56" s="7">
        <v>46325</v>
      </c>
      <c r="H56" s="8">
        <v>2</v>
      </c>
      <c r="I56" s="7"/>
      <c r="J56" s="7"/>
      <c r="K56" s="8"/>
      <c r="L56" s="6" t="s">
        <v>128</v>
      </c>
      <c r="M56" s="8">
        <f t="shared" si="5"/>
        <v>0</v>
      </c>
    </row>
    <row r="57" spans="1:13" x14ac:dyDescent="0.3">
      <c r="A57" s="5" t="s">
        <v>129</v>
      </c>
      <c r="B57" s="6" t="s">
        <v>130</v>
      </c>
      <c r="C57" s="6" t="s">
        <v>131</v>
      </c>
      <c r="D57" s="5" t="s">
        <v>19</v>
      </c>
      <c r="E57" s="5" t="s">
        <v>118</v>
      </c>
      <c r="F57" s="7">
        <v>46325</v>
      </c>
      <c r="G57" s="7">
        <v>46325</v>
      </c>
      <c r="H57" s="8">
        <v>1.5</v>
      </c>
      <c r="I57" s="7"/>
      <c r="J57" s="7"/>
      <c r="K57" s="8"/>
      <c r="L57" s="6" t="s">
        <v>24</v>
      </c>
      <c r="M57" s="8">
        <f t="shared" si="5"/>
        <v>0</v>
      </c>
    </row>
    <row r="58" spans="1:13" x14ac:dyDescent="0.3">
      <c r="A58" s="5" t="s">
        <v>132</v>
      </c>
      <c r="B58" s="6" t="s">
        <v>32</v>
      </c>
      <c r="C58" s="6" t="s">
        <v>33</v>
      </c>
      <c r="D58" s="5" t="s">
        <v>19</v>
      </c>
      <c r="E58" s="5" t="s">
        <v>118</v>
      </c>
      <c r="F58" s="7">
        <v>46325</v>
      </c>
      <c r="G58" s="7">
        <v>46325</v>
      </c>
      <c r="H58" s="8">
        <v>1.5</v>
      </c>
      <c r="I58" s="7"/>
      <c r="J58" s="7"/>
      <c r="K58" s="8"/>
      <c r="L58" s="6" t="s">
        <v>34</v>
      </c>
      <c r="M58" s="8">
        <f t="shared" si="5"/>
        <v>0</v>
      </c>
    </row>
    <row r="59" spans="1:13" x14ac:dyDescent="0.3">
      <c r="A59" s="5" t="s">
        <v>133</v>
      </c>
      <c r="B59" s="6" t="s">
        <v>134</v>
      </c>
      <c r="C59" s="6" t="s">
        <v>135</v>
      </c>
      <c r="D59" s="5" t="s">
        <v>38</v>
      </c>
      <c r="E59" s="5" t="s">
        <v>118</v>
      </c>
      <c r="F59" s="7">
        <v>46325</v>
      </c>
      <c r="G59" s="7">
        <v>46325</v>
      </c>
      <c r="H59" s="8">
        <v>2</v>
      </c>
      <c r="I59" s="7"/>
      <c r="J59" s="7"/>
      <c r="K59" s="8"/>
      <c r="L59" s="6" t="s">
        <v>39</v>
      </c>
      <c r="M59" s="8">
        <f t="shared" si="5"/>
        <v>0</v>
      </c>
    </row>
    <row r="60" spans="1:13" x14ac:dyDescent="0.3">
      <c r="A60" s="9"/>
      <c r="B60" s="9"/>
      <c r="C60" s="9" t="s">
        <v>136</v>
      </c>
      <c r="D60" s="9"/>
      <c r="E60" s="9"/>
      <c r="F60" s="9"/>
      <c r="G60" s="9"/>
      <c r="H60" s="10">
        <f>SUM(H3,H11,H19,H28,H36,H44,H52)</f>
        <v>146</v>
      </c>
      <c r="I60" s="9"/>
      <c r="J60" s="9"/>
      <c r="K60" s="10">
        <f>SUMIF($D$3:$D59,"&lt;&gt;Fase",$K$3:$K59)</f>
        <v>35.5</v>
      </c>
      <c r="L60" s="9"/>
      <c r="M60" s="10">
        <f>IF(COUNTIFS($D$3:$D59,"&lt;&gt;Fase")=0,"",ROUND(COUNTIFS($D$3:$D59,"&lt;&gt;Fase",$J$3:$J59,"&lt;&gt;")/COUNTIFS($D$3:$D59,"&lt;&gt;Fase")*100,0))</f>
        <v>44</v>
      </c>
    </row>
    <row r="62" spans="1:13" x14ac:dyDescent="0.3">
      <c r="A62" s="11" t="s">
        <v>137</v>
      </c>
    </row>
    <row r="63" spans="1:13" x14ac:dyDescent="0.3">
      <c r="A63" s="12" t="s">
        <v>138</v>
      </c>
    </row>
    <row r="64" spans="1:13" x14ac:dyDescent="0.3">
      <c r="A64" s="12" t="s">
        <v>139</v>
      </c>
    </row>
    <row r="65" spans="1:1" x14ac:dyDescent="0.3">
      <c r="A65" s="12" t="s">
        <v>140</v>
      </c>
    </row>
    <row r="66" spans="1:1" x14ac:dyDescent="0.3">
      <c r="A66" s="12" t="s">
        <v>141</v>
      </c>
    </row>
  </sheetData>
  <mergeCells count="1">
    <mergeCell ref="A1:D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H1"/>
    </sheetView>
  </sheetViews>
  <sheetFormatPr baseColWidth="10" defaultColWidth="8.88671875" defaultRowHeight="14.4" x14ac:dyDescent="0.3"/>
  <cols>
    <col min="1" max="1" width="20" customWidth="1"/>
    <col min="2" max="3" width="16" customWidth="1"/>
    <col min="4" max="4" width="13" customWidth="1"/>
    <col min="5" max="5" width="12" customWidth="1"/>
    <col min="6" max="6" width="15" customWidth="1"/>
    <col min="7" max="7" width="14" customWidth="1"/>
    <col min="8" max="8" width="11" customWidth="1"/>
  </cols>
  <sheetData>
    <row r="1" spans="1:8" ht="25.95" customHeight="1" x14ac:dyDescent="0.3">
      <c r="A1" s="30" t="s">
        <v>142</v>
      </c>
      <c r="B1" s="29"/>
      <c r="C1" s="29"/>
      <c r="D1" s="29"/>
      <c r="E1" s="29"/>
      <c r="F1" s="29"/>
      <c r="G1" s="29"/>
      <c r="H1" s="29"/>
    </row>
    <row r="2" spans="1:8" ht="31.95" customHeight="1" x14ac:dyDescent="0.3">
      <c r="A2" s="13" t="s">
        <v>5</v>
      </c>
      <c r="B2" s="13" t="s">
        <v>143</v>
      </c>
      <c r="C2" s="13" t="s">
        <v>144</v>
      </c>
      <c r="D2" s="13" t="s">
        <v>145</v>
      </c>
      <c r="E2" s="13" t="s">
        <v>146</v>
      </c>
      <c r="F2" s="13" t="s">
        <v>147</v>
      </c>
      <c r="G2" s="13" t="s">
        <v>148</v>
      </c>
      <c r="H2" s="13" t="s">
        <v>149</v>
      </c>
    </row>
    <row r="3" spans="1:8" x14ac:dyDescent="0.3">
      <c r="A3" s="14" t="s">
        <v>150</v>
      </c>
      <c r="B3" s="15">
        <v>46300</v>
      </c>
      <c r="C3" s="15">
        <v>46302</v>
      </c>
      <c r="D3" s="16">
        <v>3</v>
      </c>
      <c r="E3" s="16">
        <f>COUNTIFS('Actividades por fase'!$E$3:$E$59,"Inicio",'Actividades por fase'!$D$3:$D$59,"&lt;&gt;Fase")</f>
        <v>7</v>
      </c>
      <c r="F3" s="16">
        <v>12.5</v>
      </c>
      <c r="G3" s="16">
        <f>SUMIF('Actividades por fase'!$E$3:$E$59,"Inicio",'Actividades por fase'!$K$3:$K$59)</f>
        <v>16</v>
      </c>
      <c r="H3" s="16">
        <f>IF($E3=0,"",ROUND(COUNTIFS('Actividades por fase'!$E$3:$E$59,"Inicio",'Actividades por fase'!$D$3:$D$59,"&lt;&gt;Fase",'Actividades por fase'!$J$3:$J$59,"&lt;&gt;")/$E3*100,0))</f>
        <v>100</v>
      </c>
    </row>
    <row r="4" spans="1:8" x14ac:dyDescent="0.3">
      <c r="A4" s="14" t="s">
        <v>151</v>
      </c>
      <c r="B4" s="15">
        <v>46303</v>
      </c>
      <c r="C4" s="15">
        <v>46304</v>
      </c>
      <c r="D4" s="16">
        <v>2</v>
      </c>
      <c r="E4" s="16">
        <f>COUNTIFS('Actividades por fase'!$E$3:$E$59,"Planificación",'Actividades por fase'!$D$3:$D$59,"&lt;&gt;Fase")</f>
        <v>7</v>
      </c>
      <c r="F4" s="16">
        <v>15.5</v>
      </c>
      <c r="G4" s="16">
        <f>SUMIF('Actividades por fase'!$E$3:$E$59,"Planificación",'Actividades por fase'!$K$3:$K$59)</f>
        <v>18</v>
      </c>
      <c r="H4" s="16">
        <f>IF($E4=0,"",ROUND(COUNTIFS('Actividades por fase'!$E$3:$E$59,"Planificación",'Actividades por fase'!$D$3:$D$59,"&lt;&gt;Fase",'Actividades por fase'!$J$3:$J$59,"&lt;&gt;")/$E4*100,0))</f>
        <v>100</v>
      </c>
    </row>
    <row r="5" spans="1:8" x14ac:dyDescent="0.3">
      <c r="A5" s="14" t="s">
        <v>152</v>
      </c>
      <c r="B5" s="15">
        <v>46307</v>
      </c>
      <c r="C5" s="15">
        <v>46310</v>
      </c>
      <c r="D5" s="16">
        <v>4</v>
      </c>
      <c r="E5" s="16">
        <f>COUNTIFS('Actividades por fase'!$E$3:$E$59,"Análisis",'Actividades por fase'!$D$3:$D$59,"&lt;&gt;Fase")</f>
        <v>8</v>
      </c>
      <c r="F5" s="16">
        <v>25</v>
      </c>
      <c r="G5" s="16">
        <f>SUMIF('Actividades por fase'!$E$3:$E$59,"Análisis",'Actividades por fase'!$K$3:$K$59)</f>
        <v>37</v>
      </c>
      <c r="H5" s="16">
        <f>IF($E5=0,"",ROUND(COUNTIFS('Actividades por fase'!$E$3:$E$59,"Análisis",'Actividades por fase'!$D$3:$D$59,"&lt;&gt;Fase",'Actividades por fase'!$J$3:$J$59,"&lt;&gt;")/$E5*100,0))</f>
        <v>100</v>
      </c>
    </row>
    <row r="6" spans="1:8" x14ac:dyDescent="0.3">
      <c r="A6" s="14" t="s">
        <v>153</v>
      </c>
      <c r="B6" s="15">
        <v>46311</v>
      </c>
      <c r="C6" s="15">
        <v>46315</v>
      </c>
      <c r="D6" s="16">
        <v>3</v>
      </c>
      <c r="E6" s="16">
        <f>COUNTIFS('Actividades por fase'!$E$3:$E$59,"Diseño",'Actividades por fase'!$D$3:$D$59,"&lt;&gt;Fase")</f>
        <v>7</v>
      </c>
      <c r="F6" s="16">
        <v>20.5</v>
      </c>
      <c r="G6" s="16">
        <f>SUMIF('Actividades por fase'!$E$3:$E$59,"Diseño",'Actividades por fase'!$K$3:$K$59)</f>
        <v>0</v>
      </c>
      <c r="H6" s="16">
        <f>IF($E6=0,"",ROUND(COUNTIFS('Actividades por fase'!$E$3:$E$59,"Diseño",'Actividades por fase'!$D$3:$D$59,"&lt;&gt;Fase",'Actividades por fase'!$J$3:$J$59,"&lt;&gt;")/$E6*100,0))</f>
        <v>0</v>
      </c>
    </row>
    <row r="7" spans="1:8" x14ac:dyDescent="0.3">
      <c r="A7" s="14" t="s">
        <v>154</v>
      </c>
      <c r="B7" s="15">
        <v>46316</v>
      </c>
      <c r="C7" s="15">
        <v>46321</v>
      </c>
      <c r="D7" s="16">
        <v>4</v>
      </c>
      <c r="E7" s="16">
        <f>COUNTIFS('Actividades por fase'!$E$3:$E$59,"Codificación",'Actividades por fase'!$D$3:$D$59,"&lt;&gt;Fase")</f>
        <v>7</v>
      </c>
      <c r="F7" s="16">
        <v>38</v>
      </c>
      <c r="G7" s="16">
        <f>SUMIF('Actividades por fase'!$E$3:$E$59,"Codificación",'Actividades por fase'!$K$3:$K$59)</f>
        <v>0</v>
      </c>
      <c r="H7" s="16">
        <f>IF($E7=0,"",ROUND(COUNTIFS('Actividades por fase'!$E$3:$E$59,"Codificación",'Actividades por fase'!$D$3:$D$59,"&lt;&gt;Fase",'Actividades por fase'!$J$3:$J$59,"&lt;&gt;")/$E7*100,0))</f>
        <v>0</v>
      </c>
    </row>
    <row r="8" spans="1:8" x14ac:dyDescent="0.3">
      <c r="A8" s="14" t="s">
        <v>155</v>
      </c>
      <c r="B8" s="15">
        <v>46322</v>
      </c>
      <c r="C8" s="15">
        <v>46323</v>
      </c>
      <c r="D8" s="16">
        <v>2</v>
      </c>
      <c r="E8" s="16">
        <f>COUNTIFS('Actividades por fase'!$E$3:$E$59,"Pruebas QA",'Actividades por fase'!$D$3:$D$59,"&lt;&gt;Fase")</f>
        <v>7</v>
      </c>
      <c r="F8" s="16">
        <v>18.5</v>
      </c>
      <c r="G8" s="16">
        <f>SUMIF('Actividades por fase'!$E$3:$E$59,"Pruebas QA",'Actividades por fase'!$K$3:$K$59)</f>
        <v>0</v>
      </c>
      <c r="H8" s="16">
        <f>IF($E8=0,"",ROUND(COUNTIFS('Actividades por fase'!$E$3:$E$59,"Pruebas QA",'Actividades por fase'!$D$3:$D$59,"&lt;&gt;Fase",'Actividades por fase'!$J$3:$J$59,"&lt;&gt;")/$E8*100,0))</f>
        <v>0</v>
      </c>
    </row>
    <row r="9" spans="1:8" x14ac:dyDescent="0.3">
      <c r="A9" s="14" t="s">
        <v>156</v>
      </c>
      <c r="B9" s="15">
        <v>46324</v>
      </c>
      <c r="C9" s="15">
        <v>46325</v>
      </c>
      <c r="D9" s="16">
        <v>2</v>
      </c>
      <c r="E9" s="16">
        <f>COUNTIFS('Actividades por fase'!$E$3:$E$59,"Implementación",'Actividades por fase'!$D$3:$D$59,"&lt;&gt;Fase")</f>
        <v>7</v>
      </c>
      <c r="F9" s="16">
        <v>16</v>
      </c>
      <c r="G9" s="16">
        <f>SUMIF('Actividades por fase'!$E$3:$E$59,"Implementación",'Actividades por fase'!$K$3:$K$59)</f>
        <v>0</v>
      </c>
      <c r="H9" s="16">
        <f>IF($E9=0,"",ROUND(COUNTIFS('Actividades por fase'!$E$3:$E$59,"Implementación",'Actividades por fase'!$D$3:$D$59,"&lt;&gt;Fase",'Actividades por fase'!$J$3:$J$59,"&lt;&gt;")/$E9*100,0))</f>
        <v>0</v>
      </c>
    </row>
    <row r="10" spans="1:8" x14ac:dyDescent="0.3">
      <c r="A10" s="9" t="s">
        <v>157</v>
      </c>
      <c r="B10" s="10"/>
      <c r="C10" s="10"/>
      <c r="D10" s="10">
        <f>SUM(D3:D9)</f>
        <v>20</v>
      </c>
      <c r="E10" s="10">
        <f>SUM(E3:E9)</f>
        <v>50</v>
      </c>
      <c r="F10" s="10">
        <f>SUM(F3:F9)</f>
        <v>146</v>
      </c>
      <c r="G10" s="10">
        <f>SUM(G3:G9)</f>
        <v>71</v>
      </c>
      <c r="H10" s="10">
        <f>IF(COUNTIFS('Actividades por fase'!$D$3:$D59,"&lt;&gt;Fase")=0,"",ROUND(COUNTIFS('Actividades por fase'!$D$3:$D59,"&lt;&gt;Fase",'Actividades por fase'!$J$3:$J59,"&lt;&gt;")/COUNTIFS('Actividades por fase'!$D$3:$D59,"&lt;&gt;Fase")*100,0))</f>
        <v>44</v>
      </c>
    </row>
    <row r="12" spans="1:8" x14ac:dyDescent="0.3">
      <c r="A12" s="11" t="s">
        <v>158</v>
      </c>
    </row>
    <row r="13" spans="1:8" x14ac:dyDescent="0.3">
      <c r="A13" s="12" t="s">
        <v>159</v>
      </c>
    </row>
    <row r="14" spans="1:8" x14ac:dyDescent="0.3">
      <c r="A14" s="12" t="s">
        <v>160</v>
      </c>
    </row>
    <row r="15" spans="1:8" x14ac:dyDescent="0.3">
      <c r="A15" s="12" t="s">
        <v>161</v>
      </c>
    </row>
    <row r="16" spans="1:8" x14ac:dyDescent="0.3">
      <c r="A16" s="12" t="s">
        <v>162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baseColWidth="10" defaultColWidth="8.88671875" defaultRowHeight="14.4" x14ac:dyDescent="0.3"/>
  <cols>
    <col min="1" max="1" width="52" customWidth="1"/>
    <col min="2" max="2" width="10" customWidth="1"/>
    <col min="3" max="3" width="17" customWidth="1"/>
    <col min="4" max="4" width="14" customWidth="1"/>
    <col min="5" max="5" width="48" customWidth="1"/>
  </cols>
  <sheetData>
    <row r="1" spans="1:5" ht="25.95" customHeight="1" x14ac:dyDescent="0.3">
      <c r="A1" s="30" t="s">
        <v>163</v>
      </c>
      <c r="B1" s="29"/>
      <c r="C1" s="29"/>
      <c r="D1" s="29"/>
      <c r="E1" s="29"/>
    </row>
    <row r="2" spans="1:5" x14ac:dyDescent="0.3">
      <c r="A2" s="17" t="s">
        <v>164</v>
      </c>
      <c r="B2" s="17" t="s">
        <v>1</v>
      </c>
      <c r="C2" s="17" t="s">
        <v>5</v>
      </c>
      <c r="D2" s="17" t="s">
        <v>165</v>
      </c>
      <c r="E2" s="17" t="s">
        <v>166</v>
      </c>
    </row>
    <row r="3" spans="1:5" x14ac:dyDescent="0.3">
      <c r="A3" s="18" t="s">
        <v>167</v>
      </c>
      <c r="B3" s="19" t="s">
        <v>16</v>
      </c>
      <c r="C3" s="19" t="s">
        <v>15</v>
      </c>
      <c r="D3" s="19" t="s">
        <v>168</v>
      </c>
      <c r="E3" s="18" t="s">
        <v>169</v>
      </c>
    </row>
    <row r="4" spans="1:5" x14ac:dyDescent="0.3">
      <c r="A4" s="18" t="s">
        <v>170</v>
      </c>
      <c r="B4" s="19" t="s">
        <v>21</v>
      </c>
      <c r="C4" s="19" t="s">
        <v>15</v>
      </c>
      <c r="D4" s="19" t="s">
        <v>168</v>
      </c>
      <c r="E4" s="18" t="s">
        <v>171</v>
      </c>
    </row>
    <row r="5" spans="1:5" x14ac:dyDescent="0.3">
      <c r="A5" s="18" t="s">
        <v>172</v>
      </c>
      <c r="B5" s="19" t="s">
        <v>25</v>
      </c>
      <c r="C5" s="19" t="s">
        <v>15</v>
      </c>
      <c r="D5" s="19" t="s">
        <v>173</v>
      </c>
      <c r="E5" s="18" t="s">
        <v>24</v>
      </c>
    </row>
    <row r="6" spans="1:5" x14ac:dyDescent="0.3">
      <c r="A6" s="18" t="s">
        <v>174</v>
      </c>
      <c r="B6" s="19" t="s">
        <v>27</v>
      </c>
      <c r="C6" s="19" t="s">
        <v>15</v>
      </c>
      <c r="D6" s="19" t="s">
        <v>173</v>
      </c>
      <c r="E6" s="18" t="s">
        <v>24</v>
      </c>
    </row>
    <row r="7" spans="1:5" x14ac:dyDescent="0.3">
      <c r="A7" s="18" t="s">
        <v>175</v>
      </c>
      <c r="B7" s="19" t="s">
        <v>29</v>
      </c>
      <c r="C7" s="19" t="s">
        <v>15</v>
      </c>
      <c r="D7" s="19" t="s">
        <v>176</v>
      </c>
      <c r="E7" s="18" t="s">
        <v>177</v>
      </c>
    </row>
    <row r="8" spans="1:5" x14ac:dyDescent="0.3">
      <c r="A8" s="18" t="s">
        <v>178</v>
      </c>
      <c r="B8" s="19" t="s">
        <v>31</v>
      </c>
      <c r="C8" s="19" t="s">
        <v>15</v>
      </c>
      <c r="D8" s="19" t="s">
        <v>176</v>
      </c>
      <c r="E8" s="18" t="s">
        <v>179</v>
      </c>
    </row>
    <row r="9" spans="1:5" x14ac:dyDescent="0.3">
      <c r="A9" s="18" t="s">
        <v>180</v>
      </c>
      <c r="B9" s="19" t="s">
        <v>35</v>
      </c>
      <c r="C9" s="19" t="s">
        <v>15</v>
      </c>
      <c r="D9" s="19" t="s">
        <v>176</v>
      </c>
      <c r="E9" s="18" t="s">
        <v>181</v>
      </c>
    </row>
    <row r="10" spans="1:5" x14ac:dyDescent="0.3">
      <c r="A10" s="24" t="s">
        <v>182</v>
      </c>
      <c r="B10" s="25" t="s">
        <v>183</v>
      </c>
      <c r="C10" s="25" t="s">
        <v>41</v>
      </c>
      <c r="D10" s="25" t="s">
        <v>184</v>
      </c>
      <c r="E10" s="24" t="s">
        <v>24</v>
      </c>
    </row>
    <row r="11" spans="1:5" x14ac:dyDescent="0.3">
      <c r="A11" s="18" t="s">
        <v>185</v>
      </c>
      <c r="B11" s="19" t="s">
        <v>186</v>
      </c>
      <c r="C11" s="19" t="s">
        <v>41</v>
      </c>
      <c r="D11" s="19" t="s">
        <v>184</v>
      </c>
      <c r="E11" s="18" t="s">
        <v>24</v>
      </c>
    </row>
    <row r="12" spans="1:5" x14ac:dyDescent="0.3">
      <c r="A12" s="18" t="s">
        <v>187</v>
      </c>
      <c r="B12" s="19" t="s">
        <v>188</v>
      </c>
      <c r="C12" s="19" t="s">
        <v>41</v>
      </c>
      <c r="D12" s="19" t="s">
        <v>189</v>
      </c>
      <c r="E12" s="18" t="s">
        <v>24</v>
      </c>
    </row>
    <row r="13" spans="1:5" x14ac:dyDescent="0.3">
      <c r="A13" s="18" t="s">
        <v>190</v>
      </c>
      <c r="B13" s="19" t="s">
        <v>191</v>
      </c>
      <c r="C13" s="19" t="s">
        <v>41</v>
      </c>
      <c r="D13" s="19" t="s">
        <v>189</v>
      </c>
      <c r="E13" s="18" t="s">
        <v>192</v>
      </c>
    </row>
    <row r="14" spans="1:5" x14ac:dyDescent="0.3">
      <c r="A14" s="18" t="s">
        <v>193</v>
      </c>
      <c r="B14" s="19" t="s">
        <v>194</v>
      </c>
      <c r="C14" s="19" t="s">
        <v>41</v>
      </c>
      <c r="D14" s="19" t="s">
        <v>189</v>
      </c>
      <c r="E14" s="18" t="s">
        <v>171</v>
      </c>
    </row>
    <row r="15" spans="1:5" x14ac:dyDescent="0.3">
      <c r="A15" s="18" t="s">
        <v>195</v>
      </c>
      <c r="B15" s="19" t="s">
        <v>196</v>
      </c>
      <c r="C15" s="19" t="s">
        <v>41</v>
      </c>
      <c r="D15" s="19" t="s">
        <v>189</v>
      </c>
      <c r="E15" s="18" t="s">
        <v>181</v>
      </c>
    </row>
    <row r="16" spans="1:5" x14ac:dyDescent="0.3">
      <c r="A16" s="18" t="s">
        <v>197</v>
      </c>
      <c r="B16" s="19" t="s">
        <v>198</v>
      </c>
      <c r="C16" s="19" t="s">
        <v>41</v>
      </c>
      <c r="D16" s="19" t="s">
        <v>189</v>
      </c>
      <c r="E16" s="18" t="s">
        <v>181</v>
      </c>
    </row>
    <row r="17" spans="1:5" x14ac:dyDescent="0.3">
      <c r="A17" s="18" t="s">
        <v>199</v>
      </c>
      <c r="B17" s="19" t="s">
        <v>49</v>
      </c>
      <c r="C17" s="19" t="s">
        <v>48</v>
      </c>
      <c r="D17" s="19" t="s">
        <v>200</v>
      </c>
      <c r="E17" s="18" t="s">
        <v>201</v>
      </c>
    </row>
    <row r="18" spans="1:5" x14ac:dyDescent="0.3">
      <c r="A18" s="18" t="s">
        <v>202</v>
      </c>
      <c r="B18" s="19" t="s">
        <v>203</v>
      </c>
      <c r="C18" s="19" t="s">
        <v>48</v>
      </c>
      <c r="D18" s="19" t="s">
        <v>204</v>
      </c>
      <c r="E18" s="18" t="s">
        <v>24</v>
      </c>
    </row>
    <row r="19" spans="1:5" x14ac:dyDescent="0.3">
      <c r="A19" s="18" t="s">
        <v>205</v>
      </c>
      <c r="B19" s="19" t="s">
        <v>52</v>
      </c>
      <c r="C19" s="19" t="s">
        <v>48</v>
      </c>
      <c r="D19" s="19" t="s">
        <v>200</v>
      </c>
      <c r="E19" s="18" t="s">
        <v>206</v>
      </c>
    </row>
    <row r="20" spans="1:5" x14ac:dyDescent="0.3">
      <c r="A20" s="18" t="s">
        <v>207</v>
      </c>
      <c r="B20" s="19" t="s">
        <v>54</v>
      </c>
      <c r="C20" s="19" t="s">
        <v>48</v>
      </c>
      <c r="D20" s="19" t="s">
        <v>204</v>
      </c>
      <c r="E20" s="18" t="s">
        <v>56</v>
      </c>
    </row>
    <row r="21" spans="1:5" x14ac:dyDescent="0.3">
      <c r="A21" s="18" t="s">
        <v>208</v>
      </c>
      <c r="B21" s="19" t="s">
        <v>57</v>
      </c>
      <c r="C21" s="19" t="s">
        <v>48</v>
      </c>
      <c r="D21" s="19" t="s">
        <v>209</v>
      </c>
      <c r="E21" s="18" t="s">
        <v>210</v>
      </c>
    </row>
    <row r="22" spans="1:5" x14ac:dyDescent="0.3">
      <c r="A22" s="18" t="s">
        <v>211</v>
      </c>
      <c r="B22" s="19" t="s">
        <v>61</v>
      </c>
      <c r="C22" s="19" t="s">
        <v>48</v>
      </c>
      <c r="D22" s="19" t="s">
        <v>209</v>
      </c>
      <c r="E22" s="18" t="s">
        <v>24</v>
      </c>
    </row>
    <row r="23" spans="1:5" x14ac:dyDescent="0.3">
      <c r="A23" s="18" t="s">
        <v>212</v>
      </c>
      <c r="B23" s="19" t="s">
        <v>64</v>
      </c>
      <c r="C23" s="19" t="s">
        <v>48</v>
      </c>
      <c r="D23" s="19" t="s">
        <v>209</v>
      </c>
      <c r="E23" s="18" t="s">
        <v>181</v>
      </c>
    </row>
    <row r="24" spans="1:5" x14ac:dyDescent="0.3">
      <c r="A24" s="18" t="s">
        <v>213</v>
      </c>
      <c r="B24" s="19" t="s">
        <v>65</v>
      </c>
      <c r="C24" s="19" t="s">
        <v>48</v>
      </c>
      <c r="D24" s="19" t="s">
        <v>209</v>
      </c>
      <c r="E24" s="18" t="s">
        <v>181</v>
      </c>
    </row>
    <row r="25" spans="1:5" x14ac:dyDescent="0.3">
      <c r="A25" s="18" t="s">
        <v>214</v>
      </c>
      <c r="B25" s="19" t="s">
        <v>68</v>
      </c>
      <c r="C25" s="19" t="s">
        <v>67</v>
      </c>
      <c r="D25" s="19" t="s">
        <v>215</v>
      </c>
      <c r="E25" s="18" t="s">
        <v>71</v>
      </c>
    </row>
    <row r="26" spans="1:5" x14ac:dyDescent="0.3">
      <c r="A26" s="18" t="s">
        <v>216</v>
      </c>
      <c r="B26" s="19" t="s">
        <v>72</v>
      </c>
      <c r="C26" s="19" t="s">
        <v>67</v>
      </c>
      <c r="D26" s="19" t="s">
        <v>217</v>
      </c>
      <c r="E26" s="18" t="s">
        <v>74</v>
      </c>
    </row>
    <row r="27" spans="1:5" x14ac:dyDescent="0.3">
      <c r="A27" s="18" t="s">
        <v>218</v>
      </c>
      <c r="B27" s="19" t="s">
        <v>75</v>
      </c>
      <c r="C27" s="19" t="s">
        <v>67</v>
      </c>
      <c r="D27" s="19" t="s">
        <v>217</v>
      </c>
      <c r="E27" s="18" t="s">
        <v>77</v>
      </c>
    </row>
    <row r="28" spans="1:5" x14ac:dyDescent="0.3">
      <c r="A28" s="18" t="s">
        <v>219</v>
      </c>
      <c r="B28" s="19" t="s">
        <v>78</v>
      </c>
      <c r="C28" s="19" t="s">
        <v>67</v>
      </c>
      <c r="D28" s="19" t="s">
        <v>220</v>
      </c>
      <c r="E28" s="18" t="s">
        <v>221</v>
      </c>
    </row>
    <row r="29" spans="1:5" x14ac:dyDescent="0.3">
      <c r="A29" s="18" t="s">
        <v>222</v>
      </c>
      <c r="B29" s="19" t="s">
        <v>81</v>
      </c>
      <c r="C29" s="19" t="s">
        <v>67</v>
      </c>
      <c r="D29" s="19" t="s">
        <v>220</v>
      </c>
      <c r="E29" s="18" t="s">
        <v>77</v>
      </c>
    </row>
    <row r="30" spans="1:5" x14ac:dyDescent="0.3">
      <c r="A30" s="18" t="s">
        <v>223</v>
      </c>
      <c r="B30" s="19" t="s">
        <v>83</v>
      </c>
      <c r="C30" s="19" t="s">
        <v>67</v>
      </c>
      <c r="D30" s="19" t="s">
        <v>220</v>
      </c>
      <c r="E30" s="18" t="s">
        <v>181</v>
      </c>
    </row>
    <row r="31" spans="1:5" x14ac:dyDescent="0.3">
      <c r="A31" s="18" t="s">
        <v>224</v>
      </c>
      <c r="B31" s="19" t="s">
        <v>84</v>
      </c>
      <c r="C31" s="19" t="s">
        <v>67</v>
      </c>
      <c r="D31" s="19" t="s">
        <v>220</v>
      </c>
      <c r="E31" s="18" t="s">
        <v>181</v>
      </c>
    </row>
    <row r="32" spans="1:5" x14ac:dyDescent="0.3">
      <c r="A32" s="18" t="s">
        <v>225</v>
      </c>
      <c r="B32" s="19" t="s">
        <v>87</v>
      </c>
      <c r="C32" s="19" t="s">
        <v>86</v>
      </c>
      <c r="D32" s="19" t="s">
        <v>226</v>
      </c>
      <c r="E32" s="18" t="s">
        <v>221</v>
      </c>
    </row>
    <row r="33" spans="1:5" x14ac:dyDescent="0.3">
      <c r="A33" s="18" t="s">
        <v>227</v>
      </c>
      <c r="B33" s="19" t="s">
        <v>89</v>
      </c>
      <c r="C33" s="19" t="s">
        <v>86</v>
      </c>
      <c r="D33" s="19" t="s">
        <v>228</v>
      </c>
      <c r="E33" s="18" t="s">
        <v>229</v>
      </c>
    </row>
    <row r="34" spans="1:5" x14ac:dyDescent="0.3">
      <c r="A34" s="18" t="s">
        <v>230</v>
      </c>
      <c r="B34" s="19" t="s">
        <v>91</v>
      </c>
      <c r="C34" s="19" t="s">
        <v>86</v>
      </c>
      <c r="D34" s="19" t="s">
        <v>231</v>
      </c>
      <c r="E34" s="18" t="s">
        <v>229</v>
      </c>
    </row>
    <row r="35" spans="1:5" x14ac:dyDescent="0.3">
      <c r="A35" s="18" t="s">
        <v>232</v>
      </c>
      <c r="B35" s="19" t="s">
        <v>93</v>
      </c>
      <c r="C35" s="19" t="s">
        <v>86</v>
      </c>
      <c r="D35" s="19" t="s">
        <v>233</v>
      </c>
      <c r="E35" s="18" t="s">
        <v>229</v>
      </c>
    </row>
    <row r="36" spans="1:5" x14ac:dyDescent="0.3">
      <c r="A36" s="18" t="s">
        <v>234</v>
      </c>
      <c r="B36" s="19" t="s">
        <v>95</v>
      </c>
      <c r="C36" s="19" t="s">
        <v>86</v>
      </c>
      <c r="D36" s="19" t="s">
        <v>233</v>
      </c>
      <c r="E36" s="18" t="s">
        <v>229</v>
      </c>
    </row>
    <row r="37" spans="1:5" x14ac:dyDescent="0.3">
      <c r="A37" s="18" t="s">
        <v>235</v>
      </c>
      <c r="B37" s="19" t="s">
        <v>98</v>
      </c>
      <c r="C37" s="19" t="s">
        <v>86</v>
      </c>
      <c r="D37" s="19" t="s">
        <v>233</v>
      </c>
      <c r="E37" s="18" t="s">
        <v>181</v>
      </c>
    </row>
    <row r="38" spans="1:5" x14ac:dyDescent="0.3">
      <c r="A38" s="18" t="s">
        <v>236</v>
      </c>
      <c r="B38" s="19" t="s">
        <v>99</v>
      </c>
      <c r="C38" s="19" t="s">
        <v>86</v>
      </c>
      <c r="D38" s="19" t="s">
        <v>233</v>
      </c>
      <c r="E38" s="18" t="s">
        <v>181</v>
      </c>
    </row>
    <row r="39" spans="1:5" x14ac:dyDescent="0.3">
      <c r="A39" s="18" t="s">
        <v>237</v>
      </c>
      <c r="B39" s="19" t="s">
        <v>102</v>
      </c>
      <c r="C39" s="19" t="s">
        <v>101</v>
      </c>
      <c r="D39" s="19" t="s">
        <v>238</v>
      </c>
      <c r="E39" s="18" t="s">
        <v>104</v>
      </c>
    </row>
    <row r="40" spans="1:5" x14ac:dyDescent="0.3">
      <c r="A40" s="18" t="s">
        <v>239</v>
      </c>
      <c r="B40" s="19" t="s">
        <v>105</v>
      </c>
      <c r="C40" s="19" t="s">
        <v>101</v>
      </c>
      <c r="D40" s="19" t="s">
        <v>238</v>
      </c>
      <c r="E40" s="18" t="s">
        <v>104</v>
      </c>
    </row>
    <row r="41" spans="1:5" x14ac:dyDescent="0.3">
      <c r="A41" s="18" t="s">
        <v>240</v>
      </c>
      <c r="B41" s="19" t="s">
        <v>108</v>
      </c>
      <c r="C41" s="19" t="s">
        <v>101</v>
      </c>
      <c r="D41" s="19" t="s">
        <v>241</v>
      </c>
      <c r="E41" s="18" t="s">
        <v>104</v>
      </c>
    </row>
    <row r="42" spans="1:5" x14ac:dyDescent="0.3">
      <c r="A42" s="18" t="s">
        <v>242</v>
      </c>
      <c r="B42" s="19" t="s">
        <v>110</v>
      </c>
      <c r="C42" s="19" t="s">
        <v>101</v>
      </c>
      <c r="D42" s="19" t="s">
        <v>241</v>
      </c>
      <c r="E42" s="18" t="s">
        <v>104</v>
      </c>
    </row>
    <row r="43" spans="1:5" x14ac:dyDescent="0.3">
      <c r="A43" s="18" t="s">
        <v>243</v>
      </c>
      <c r="B43" s="19" t="s">
        <v>112</v>
      </c>
      <c r="C43" s="19" t="s">
        <v>101</v>
      </c>
      <c r="D43" s="19" t="s">
        <v>241</v>
      </c>
      <c r="E43" s="18" t="s">
        <v>244</v>
      </c>
    </row>
    <row r="44" spans="1:5" x14ac:dyDescent="0.3">
      <c r="A44" s="18" t="s">
        <v>245</v>
      </c>
      <c r="B44" s="19" t="s">
        <v>115</v>
      </c>
      <c r="C44" s="19" t="s">
        <v>101</v>
      </c>
      <c r="D44" s="19" t="s">
        <v>241</v>
      </c>
      <c r="E44" s="18" t="s">
        <v>181</v>
      </c>
    </row>
    <row r="45" spans="1:5" x14ac:dyDescent="0.3">
      <c r="A45" s="18" t="s">
        <v>246</v>
      </c>
      <c r="B45" s="19" t="s">
        <v>116</v>
      </c>
      <c r="C45" s="19" t="s">
        <v>101</v>
      </c>
      <c r="D45" s="19" t="s">
        <v>241</v>
      </c>
      <c r="E45" s="18" t="s">
        <v>181</v>
      </c>
    </row>
    <row r="46" spans="1:5" x14ac:dyDescent="0.3">
      <c r="A46" s="18" t="s">
        <v>247</v>
      </c>
      <c r="B46" s="19" t="s">
        <v>119</v>
      </c>
      <c r="C46" s="19" t="s">
        <v>118</v>
      </c>
      <c r="D46" s="19" t="s">
        <v>248</v>
      </c>
      <c r="E46" s="18" t="s">
        <v>221</v>
      </c>
    </row>
    <row r="47" spans="1:5" x14ac:dyDescent="0.3">
      <c r="A47" s="18" t="s">
        <v>249</v>
      </c>
      <c r="B47" s="19" t="s">
        <v>121</v>
      </c>
      <c r="C47" s="19" t="s">
        <v>118</v>
      </c>
      <c r="D47" s="19" t="s">
        <v>248</v>
      </c>
      <c r="E47" s="18" t="s">
        <v>77</v>
      </c>
    </row>
    <row r="48" spans="1:5" x14ac:dyDescent="0.3">
      <c r="A48" s="18" t="s">
        <v>250</v>
      </c>
      <c r="B48" s="19" t="s">
        <v>123</v>
      </c>
      <c r="C48" s="19" t="s">
        <v>118</v>
      </c>
      <c r="D48" s="19" t="s">
        <v>248</v>
      </c>
      <c r="E48" s="18" t="s">
        <v>251</v>
      </c>
    </row>
    <row r="49" spans="1:5" x14ac:dyDescent="0.3">
      <c r="A49" s="18" t="s">
        <v>252</v>
      </c>
      <c r="B49" s="19" t="s">
        <v>126</v>
      </c>
      <c r="C49" s="19" t="s">
        <v>118</v>
      </c>
      <c r="D49" s="19" t="s">
        <v>253</v>
      </c>
      <c r="E49" s="18" t="s">
        <v>206</v>
      </c>
    </row>
    <row r="50" spans="1:5" x14ac:dyDescent="0.3">
      <c r="A50" s="18" t="s">
        <v>254</v>
      </c>
      <c r="B50" s="19" t="s">
        <v>129</v>
      </c>
      <c r="C50" s="19" t="s">
        <v>118</v>
      </c>
      <c r="D50" s="19" t="s">
        <v>253</v>
      </c>
      <c r="E50" s="18" t="s">
        <v>177</v>
      </c>
    </row>
    <row r="51" spans="1:5" x14ac:dyDescent="0.3">
      <c r="A51" s="18" t="s">
        <v>255</v>
      </c>
      <c r="B51" s="19" t="s">
        <v>132</v>
      </c>
      <c r="C51" s="19" t="s">
        <v>118</v>
      </c>
      <c r="D51" s="19" t="s">
        <v>253</v>
      </c>
      <c r="E51" s="18" t="s">
        <v>181</v>
      </c>
    </row>
    <row r="52" spans="1:5" x14ac:dyDescent="0.3">
      <c r="A52" s="18" t="s">
        <v>256</v>
      </c>
      <c r="B52" s="19" t="s">
        <v>133</v>
      </c>
      <c r="C52" s="19" t="s">
        <v>118</v>
      </c>
      <c r="D52" s="19" t="s">
        <v>253</v>
      </c>
      <c r="E52" s="18" t="s">
        <v>39</v>
      </c>
    </row>
    <row r="54" spans="1:5" x14ac:dyDescent="0.3">
      <c r="A54" s="20" t="s">
        <v>257</v>
      </c>
    </row>
    <row r="56" spans="1:5" x14ac:dyDescent="0.3">
      <c r="A56" s="11" t="s">
        <v>258</v>
      </c>
    </row>
    <row r="57" spans="1:5" x14ac:dyDescent="0.3">
      <c r="A57" s="12" t="s">
        <v>259</v>
      </c>
    </row>
    <row r="58" spans="1:5" x14ac:dyDescent="0.3">
      <c r="A58" s="12" t="s">
        <v>260</v>
      </c>
    </row>
    <row r="59" spans="1:5" x14ac:dyDescent="0.3">
      <c r="A59" s="12" t="s">
        <v>261</v>
      </c>
    </row>
    <row r="60" spans="1:5" x14ac:dyDescent="0.3">
      <c r="A60" s="12" t="s">
        <v>262</v>
      </c>
    </row>
    <row r="61" spans="1:5" x14ac:dyDescent="0.3">
      <c r="A61" s="12" t="s">
        <v>263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 por fase</vt:lpstr>
      <vt:lpstr>Resumen por fase</vt:lpstr>
      <vt:lpstr>Control de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MUÑOZ MALPICA</cp:lastModifiedBy>
  <dcterms:created xsi:type="dcterms:W3CDTF">2026-10-07T21:30:32Z</dcterms:created>
  <dcterms:modified xsi:type="dcterms:W3CDTF">2026-10-16T21:12:48Z</dcterms:modified>
</cp:coreProperties>
</file>